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Angela-PORTFOLIO\"/>
    </mc:Choice>
  </mc:AlternateContent>
  <xr:revisionPtr revIDLastSave="0" documentId="13_ncr:1_{05EF1A04-30E0-4223-9371-849CD97C739E}" xr6:coauthVersionLast="47" xr6:coauthVersionMax="47" xr10:uidLastSave="{00000000-0000-0000-0000-000000000000}"/>
  <bookViews>
    <workbookView xWindow="-120" yWindow="-120" windowWidth="20730" windowHeight="11160" tabRatio="789" firstSheet="3" activeTab="8" xr2:uid="{F453BE3F-3B83-4C16-AC65-630DDDECCDF3}"/>
  </bookViews>
  <sheets>
    <sheet name="1-SQLs" sheetId="19" r:id="rId1"/>
    <sheet name="MAIN DATASET" sheetId="1" r:id="rId2"/>
    <sheet name="Historical Data" sheetId="3" r:id="rId3"/>
    <sheet name="Inputs &amp; Assumptions " sheetId="2" r:id="rId4"/>
    <sheet name="Current Year Forecast" sheetId="4" r:id="rId5"/>
    <sheet name="Dashboard" sheetId="7" r:id="rId6"/>
    <sheet name="Best Sellers" sheetId="12" r:id="rId7"/>
    <sheet name="Projected Profit growth" sheetId="11" r:id="rId8"/>
    <sheet name="Customer Frequency" sheetId="17" r:id="rId9"/>
  </sheets>
  <definedNames>
    <definedName name="Slicer_INVOICE_DATE">#N/A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3" i="3"/>
  <c r="B2" i="4" s="1"/>
  <c r="A9" i="11"/>
  <c r="A10" i="11"/>
  <c r="A3" i="11"/>
  <c r="A4" i="11"/>
  <c r="A5" i="11"/>
  <c r="A7" i="11"/>
  <c r="A8" i="11"/>
  <c r="A2" i="11"/>
  <c r="A11" i="7"/>
  <c r="A12" i="7"/>
  <c r="A10" i="7"/>
  <c r="A9" i="7"/>
  <c r="C12" i="4"/>
  <c r="B12" i="4"/>
  <c r="B9" i="7" s="1"/>
  <c r="A14" i="4"/>
  <c r="A15" i="4" s="1"/>
  <c r="A13" i="4"/>
  <c r="L116" i="1"/>
  <c r="L107" i="1"/>
  <c r="E4" i="3"/>
  <c r="D4" i="3"/>
  <c r="C4" i="3"/>
  <c r="A5" i="7"/>
  <c r="A6" i="7"/>
  <c r="A7" i="7"/>
  <c r="A4" i="7"/>
  <c r="B13" i="4" l="1"/>
  <c r="D12" i="4"/>
  <c r="E12" i="4" s="1"/>
  <c r="H12" i="4"/>
  <c r="D9" i="7" s="1"/>
  <c r="B4" i="7"/>
  <c r="C2" i="4"/>
  <c r="H2" i="4" s="1"/>
  <c r="D4" i="7" s="1"/>
  <c r="D2" i="4"/>
  <c r="D13" i="4"/>
  <c r="C13" i="4"/>
  <c r="E13" i="4" s="1"/>
  <c r="F13" i="4" s="1"/>
  <c r="F12" i="4" l="1"/>
  <c r="G12" i="4" s="1"/>
  <c r="C9" i="7" s="1"/>
  <c r="B7" i="11" s="1"/>
  <c r="B14" i="4"/>
  <c r="B10" i="7"/>
  <c r="H13" i="4"/>
  <c r="D10" i="7" s="1"/>
  <c r="G13" i="4"/>
  <c r="C10" i="7" s="1"/>
  <c r="B8" i="11" s="1"/>
  <c r="B11" i="7" l="1"/>
  <c r="H14" i="4"/>
  <c r="D11" i="7" s="1"/>
  <c r="D14" i="4"/>
  <c r="C14" i="4"/>
  <c r="B15" i="4"/>
  <c r="C7" i="11"/>
  <c r="G3" i="2"/>
  <c r="G4" i="2"/>
  <c r="G5" i="2"/>
  <c r="G2" i="2"/>
  <c r="C3" i="3"/>
  <c r="C15" i="4" l="1"/>
  <c r="H15" i="4" s="1"/>
  <c r="D12" i="7" s="1"/>
  <c r="B12" i="7"/>
  <c r="D15" i="4"/>
  <c r="E15" i="4"/>
  <c r="F15" i="4" s="1"/>
  <c r="G15" i="4" s="1"/>
  <c r="C12" i="7" s="1"/>
  <c r="B10" i="11" s="1"/>
  <c r="E14" i="4"/>
  <c r="F14" i="4" s="1"/>
  <c r="G14" i="4" s="1"/>
  <c r="C11" i="7" s="1"/>
  <c r="B9" i="11" s="1"/>
  <c r="C8" i="11" s="1"/>
  <c r="D3" i="3"/>
  <c r="E3" i="3" s="1"/>
  <c r="C9" i="11" l="1"/>
  <c r="B3" i="4"/>
  <c r="B5" i="7" l="1"/>
  <c r="B4" i="4"/>
  <c r="E2" i="4"/>
  <c r="F2" i="4" s="1"/>
  <c r="G2" i="4" s="1"/>
  <c r="C4" i="7" s="1"/>
  <c r="B2" i="11" s="1"/>
  <c r="D3" i="4"/>
  <c r="C3" i="4"/>
  <c r="H3" i="4" s="1"/>
  <c r="D5" i="7" s="1"/>
  <c r="B5" i="4" l="1"/>
  <c r="B6" i="7"/>
  <c r="E3" i="4"/>
  <c r="F3" i="4" s="1"/>
  <c r="G3" i="4" s="1"/>
  <c r="C5" i="7" s="1"/>
  <c r="B3" i="11" s="1"/>
  <c r="C2" i="11" s="1"/>
  <c r="D4" i="4"/>
  <c r="B7" i="7"/>
  <c r="C4" i="4"/>
  <c r="H4" i="4" s="1"/>
  <c r="D6" i="7" s="1"/>
  <c r="E4" i="4" l="1"/>
  <c r="F4" i="4" s="1"/>
  <c r="G4" i="4" s="1"/>
  <c r="C6" i="7" s="1"/>
  <c r="B4" i="11" s="1"/>
  <c r="C3" i="11" s="1"/>
  <c r="C5" i="4"/>
  <c r="H5" i="4" s="1"/>
  <c r="D7" i="7" s="1"/>
  <c r="D5" i="4"/>
  <c r="E5" i="4" l="1"/>
  <c r="F5" i="4" l="1"/>
  <c r="G5" i="4"/>
  <c r="C7" i="7"/>
  <c r="B5" i="11" s="1"/>
  <c r="C4" i="11" s="1"/>
</calcChain>
</file>

<file path=xl/sharedStrings.xml><?xml version="1.0" encoding="utf-8"?>
<sst xmlns="http://schemas.openxmlformats.org/spreadsheetml/2006/main" count="393" uniqueCount="133">
  <si>
    <t>Year</t>
  </si>
  <si>
    <t>COGS</t>
  </si>
  <si>
    <t>Operating Expenses</t>
  </si>
  <si>
    <t>Net Income</t>
  </si>
  <si>
    <t>EBIT</t>
  </si>
  <si>
    <t>HISTORICAL DATA</t>
  </si>
  <si>
    <t>Revenue</t>
  </si>
  <si>
    <t xml:space="preserve">Sales Growth Rate </t>
  </si>
  <si>
    <t xml:space="preserve">(Cost Of Goods) COGS % of Revenue </t>
  </si>
  <si>
    <t>Operating Expense % of Revenue</t>
  </si>
  <si>
    <t>Tax Rate</t>
  </si>
  <si>
    <t>PERCENTAGE</t>
  </si>
  <si>
    <t>DECIMAL</t>
  </si>
  <si>
    <t>YEAR</t>
  </si>
  <si>
    <t>REVENUE</t>
  </si>
  <si>
    <t>OPERATING EXPENSES</t>
  </si>
  <si>
    <t>TAX</t>
  </si>
  <si>
    <t>NET INCOME</t>
  </si>
  <si>
    <t>SUMMARY</t>
  </si>
  <si>
    <t>85123A</t>
  </si>
  <si>
    <t>WHITE HANGING HEART T-LIGHT HOLDER</t>
  </si>
  <si>
    <t>United Kingdom</t>
  </si>
  <si>
    <t>WHITE METAL LANTERN</t>
  </si>
  <si>
    <t>84406B</t>
  </si>
  <si>
    <t>CREAM CUPID HEARTS COAT HANGER</t>
  </si>
  <si>
    <t>84029G</t>
  </si>
  <si>
    <t>KNITTED UNION FLAG HOT WATER BOTTLE</t>
  </si>
  <si>
    <t>84029E</t>
  </si>
  <si>
    <t>RED WOOLLY HOTTIE WHITE HEART.</t>
  </si>
  <si>
    <t>SET 7 BABUSHKA NESTING BOXES</t>
  </si>
  <si>
    <t>GLASS STAR FROSTED T-LIGHT HOLDER</t>
  </si>
  <si>
    <t>HAND WARMER UNION JACK</t>
  </si>
  <si>
    <t>HAND WARMER RED POLKA DOT</t>
  </si>
  <si>
    <t>JAM MAKING SET WITH JARS</t>
  </si>
  <si>
    <t>RED COAT RACK PARIS FASHION</t>
  </si>
  <si>
    <t>YELLOW COAT RACK PARIS FASHION</t>
  </si>
  <si>
    <t>BLUE COAT RACK PARIS FASHION</t>
  </si>
  <si>
    <t>ASSORTED COLOUR BIRD ORNAMENT</t>
  </si>
  <si>
    <t>POPPY'S PLAYHOUSE KITCHEN</t>
  </si>
  <si>
    <t>FELTCRAFT PRINCESS CHARLOTTE DOLL</t>
  </si>
  <si>
    <t>BOX OF 6 ASSORTED COLOUR TEASPOONS</t>
  </si>
  <si>
    <t>BOX OF VINTAGE ALPHABET BLOCKS</t>
  </si>
  <si>
    <t>HOME BUILDING BLOCK WORD</t>
  </si>
  <si>
    <t>LOVE BUILDING BLOCK WORD</t>
  </si>
  <si>
    <t>RECIPE BOX WITH METAL HEART</t>
  </si>
  <si>
    <t>DOORMAT NEW ENGLAND</t>
  </si>
  <si>
    <t>BATH BUILDING BLOCK WORD</t>
  </si>
  <si>
    <t>ALARM CLOCK BAKELIKE PINK</t>
  </si>
  <si>
    <t>France</t>
  </si>
  <si>
    <t>ALARM CLOCK BAKELIKE GREEN</t>
  </si>
  <si>
    <t>PANDA AND BUNNIES STICKER SHEET</t>
  </si>
  <si>
    <t>LUNCH BOX I LOVE LONDON</t>
  </si>
  <si>
    <t>CHARLOTTE BAG DOLLY GIRL DESIGN</t>
  </si>
  <si>
    <t>RED TOADSTOOL LED NIGHT LIGHT</t>
  </si>
  <si>
    <t>VINTAGE SEASIDE JIGSAW PUZZLES</t>
  </si>
  <si>
    <t>MINI JIGSAW SPACEBOY</t>
  </si>
  <si>
    <t>POST</t>
  </si>
  <si>
    <t>POSTAGE</t>
  </si>
  <si>
    <t>EDWARDIAN PARASOL RED</t>
  </si>
  <si>
    <t>RETRO COFFEE MUGS ASSORTED</t>
  </si>
  <si>
    <t>SAVE THE PLANET MUG</t>
  </si>
  <si>
    <t>VINTAGE BILLBOARD DRINK ME MUG</t>
  </si>
  <si>
    <t>VINTAGE BILLBOARD LOVE/HATE MUG</t>
  </si>
  <si>
    <t>WOOD 2 DRAWER CABINET WHITE FINISH</t>
  </si>
  <si>
    <t>WOOD S/3 CABINET ANT WHITE FINISH</t>
  </si>
  <si>
    <t>WOODEN PICTURE FRAME WHITE FINISH</t>
  </si>
  <si>
    <t>82494L</t>
  </si>
  <si>
    <t>VICTORIAN SEWING BOX LARGE</t>
  </si>
  <si>
    <t>HOT WATER BOTTLE TEA AND SYMPATHY</t>
  </si>
  <si>
    <t>RED HANGING HEART T-LIGHT HOLDER</t>
  </si>
  <si>
    <t>JUMBO STORAGE BAG SUKI</t>
  </si>
  <si>
    <t>JUMBO BAG PINK VINTAGE PAISLEY</t>
  </si>
  <si>
    <t>JAM MAKING SET PRINTED</t>
  </si>
  <si>
    <t>GIRLY PINK TOOL SET</t>
  </si>
  <si>
    <t>JUMBO SHOPPER VINTAGE RED PAISLEY</t>
  </si>
  <si>
    <t>AIRLINE LOUNGE,METAL SIGN</t>
  </si>
  <si>
    <t>WHITE SPOT RED CERAMIC DRAWER KNOB</t>
  </si>
  <si>
    <t>RED DRAWER KNOB ACRYLIC EDWARDIAN</t>
  </si>
  <si>
    <t>CLEAR DRAWER KNOB ACRYLIC EDWARDIAN</t>
  </si>
  <si>
    <t>PHOTO CLIP LINE</t>
  </si>
  <si>
    <t>FELT EGG COSY CHICKEN</t>
  </si>
  <si>
    <t>GIN + TONIC DIET METAL SIGN</t>
  </si>
  <si>
    <t>37444A</t>
  </si>
  <si>
    <t>YELLOW BREAKFAST CUP AND SAUCER</t>
  </si>
  <si>
    <t>37444C</t>
  </si>
  <si>
    <t>PAPER CHAIN KIT RETROSPOT</t>
  </si>
  <si>
    <t>INPUTS &amp; ASSUMPTIONS</t>
  </si>
  <si>
    <t>TOTAL</t>
  </si>
  <si>
    <t>POPPY'S PLAYHOUSE BEDROOM</t>
  </si>
  <si>
    <t>IVORY KNITTED MUG COSY</t>
  </si>
  <si>
    <t>BOX OF VINTAGE JIGSAW BLOCKS</t>
  </si>
  <si>
    <t>ALARM CLOCK BAKELIKE RED</t>
  </si>
  <si>
    <t>STARS GIFT TAPE</t>
  </si>
  <si>
    <t>INFLATABLE POLITICAL GLOBE</t>
  </si>
  <si>
    <t>VINTAGE HEADS AND TAILS CARD GAME</t>
  </si>
  <si>
    <t>SET/2 RED RETROSPOT TEA TOWELS</t>
  </si>
  <si>
    <t>ROUND SNACK BOXES SET OF4 WOODLAND</t>
  </si>
  <si>
    <t>SPACEBOY LUNCH BOX</t>
  </si>
  <si>
    <t>CIRCUS PARADE LUNCH BOX</t>
  </si>
  <si>
    <t>SET 2 TEA TOWELS I LOVE LONDON</t>
  </si>
  <si>
    <t>MINI JIGSAW CIRCUS PARADE</t>
  </si>
  <si>
    <t>MINI PAINT SET VINTAGE</t>
  </si>
  <si>
    <t>PAPER CHAIN KIT 50'S CHRISTMAS</t>
  </si>
  <si>
    <t>WOODEN FRAME ANTIQUE WHITE</t>
  </si>
  <si>
    <t>RETROSPOT TEA SET CERAMIC 11 PC</t>
  </si>
  <si>
    <t>PIGGY BANK RETROSPOT</t>
  </si>
  <si>
    <t>YOU'RE CONFUSING ME METAL SIGN</t>
  </si>
  <si>
    <t>COOK WITH WINE METAL SIGN</t>
  </si>
  <si>
    <t>PINK BREAKFAST CUP AND SAUCER</t>
  </si>
  <si>
    <t>ph</t>
  </si>
  <si>
    <t>ph111</t>
  </si>
  <si>
    <t>INVOICE_NO</t>
  </si>
  <si>
    <t>TRANSACTION_ID</t>
  </si>
  <si>
    <t>STOCK CODE</t>
  </si>
  <si>
    <t>DESCRIPTION/CATEGORY</t>
  </si>
  <si>
    <t>QUANTITY</t>
  </si>
  <si>
    <t>INVOICE_DATE</t>
  </si>
  <si>
    <t>UNIT_PRICE</t>
  </si>
  <si>
    <t>CUSTOMER_ID</t>
  </si>
  <si>
    <t>COUNTRY</t>
  </si>
  <si>
    <t>TIMESTAMP</t>
  </si>
  <si>
    <t>GROSS PROFIT</t>
  </si>
  <si>
    <t>Row Labels</t>
  </si>
  <si>
    <t>Grand Total</t>
  </si>
  <si>
    <t>Sum of TOTAL</t>
  </si>
  <si>
    <t>Profit Growth</t>
  </si>
  <si>
    <t>Count of INVOICE_NO</t>
  </si>
  <si>
    <t>A- TOTAL SALES PER MONTH</t>
  </si>
  <si>
    <t>SELECT
  TO_CHAR(invoice_date, 'YYYY-MM') AS month,
  SUM(quantity * unit_price) AS total_sales
FROM
  sales_transactions
GROUP BY
  TO_CHAR(invoice_date, 'YYYY-MM')
ORDER BY
  month;</t>
  </si>
  <si>
    <t>SELECT
  description,
  SUM(quantity * unit_price) AS total_sales
FROM
  sales_transactions
GROUP BY
  description
ORDER BY
  total_sales DESC;</t>
  </si>
  <si>
    <t xml:space="preserve">B- SALES BY PRODUCT CATEGORY </t>
  </si>
  <si>
    <t>C-NUMBER OF TRANSACTIONS PER CUSTOMER</t>
  </si>
  <si>
    <t>SELECT
  customer_id,
  COUNT(*) AS transaction_count
FROM
  sales_transactions
GROUP BY
  customer_id
ORDER BY
  transaction_count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</si>
</sst>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45C]#,##0.00"/>
    <numFmt numFmtId="166" formatCode="&quot;$&quot;#,##0.00"/>
    <numFmt numFmtId="167" formatCode="_([$$-409]* #,##0.00_);_([$$-409]* \(#,##0.00\);_([$$-409]* &quot;-&quot;??_);_(@_)"/>
  </numFmts>
  <fonts count="14" x14ac:knownFonts="1">
    <font>
      <sz val="11"/>
      <color theme="1"/>
      <name val="Aptos Narrow"/>
      <family val="2"/>
      <scheme val="minor"/>
    </font>
    <font>
      <sz val="11"/>
      <color theme="1"/>
      <name val="Aptos Narrow"/>
      <family val="2"/>
      <scheme val="minor"/>
    </font>
    <font>
      <b/>
      <sz val="12"/>
      <color theme="1"/>
      <name val="Times New Roman"/>
      <family val="1"/>
    </font>
    <font>
      <b/>
      <sz val="19"/>
      <color theme="1"/>
      <name val="Sylfaen"/>
      <family val="1"/>
    </font>
    <font>
      <b/>
      <sz val="11"/>
      <color theme="1"/>
      <name val="Aptos Narrow"/>
      <family val="2"/>
      <scheme val="minor"/>
    </font>
    <font>
      <b/>
      <sz val="18"/>
      <color theme="1"/>
      <name val="Calibri"/>
      <family val="2"/>
    </font>
    <font>
      <sz val="11"/>
      <color theme="1"/>
      <name val="Calibri"/>
      <family val="2"/>
    </font>
    <font>
      <b/>
      <sz val="12"/>
      <color theme="1"/>
      <name val="Calibri"/>
      <family val="2"/>
    </font>
    <font>
      <sz val="14"/>
      <color theme="1"/>
      <name val="Calibri"/>
      <family val="2"/>
    </font>
    <font>
      <b/>
      <sz val="20"/>
      <color theme="1"/>
      <name val="Calibri"/>
      <family val="2"/>
    </font>
    <font>
      <b/>
      <sz val="19"/>
      <color theme="1"/>
      <name val="Calibri"/>
      <family val="2"/>
    </font>
    <font>
      <b/>
      <sz val="11"/>
      <color theme="1"/>
      <name val="Calibri"/>
      <family val="2"/>
    </font>
    <font>
      <b/>
      <sz val="16"/>
      <color theme="1"/>
      <name val="Calibri"/>
      <family val="2"/>
    </font>
    <font>
      <sz val="12"/>
      <color theme="1"/>
      <name val="Calibri"/>
      <family val="2"/>
    </font>
  </fonts>
  <fills count="5">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0"/>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diagonal/>
    </border>
    <border>
      <left style="thin">
        <color indexed="64"/>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07">
    <xf numFmtId="0" fontId="0" fillId="0" borderId="0" xfId="0"/>
    <xf numFmtId="0" fontId="0" fillId="0" borderId="0" xfId="0" applyAlignment="1">
      <alignment vertical="center"/>
    </xf>
    <xf numFmtId="0" fontId="0" fillId="0" borderId="0" xfId="0" applyAlignment="1">
      <alignment horizontal="center" vertical="center"/>
    </xf>
    <xf numFmtId="165" fontId="0" fillId="0" borderId="12" xfId="0" applyNumberFormat="1" applyBorder="1" applyAlignment="1">
      <alignment horizontal="center" vertical="center"/>
    </xf>
    <xf numFmtId="0" fontId="0" fillId="0" borderId="11" xfId="0"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6" xfId="0" applyFont="1" applyBorder="1" applyAlignment="1">
      <alignment horizontal="center" vertical="center"/>
    </xf>
    <xf numFmtId="9" fontId="0" fillId="0" borderId="12" xfId="0" applyNumberFormat="1" applyBorder="1" applyAlignment="1">
      <alignment horizontal="center" vertical="center"/>
    </xf>
    <xf numFmtId="0" fontId="4" fillId="0" borderId="0" xfId="0" applyFont="1" applyAlignment="1">
      <alignment horizontal="center" vertical="center"/>
    </xf>
    <xf numFmtId="22" fontId="4" fillId="0" borderId="0" xfId="0" applyNumberFormat="1" applyFont="1" applyAlignment="1">
      <alignment horizontal="center"/>
    </xf>
    <xf numFmtId="22" fontId="0" fillId="0" borderId="0" xfId="0" applyNumberFormat="1" applyAlignment="1">
      <alignment horizontal="center"/>
    </xf>
    <xf numFmtId="0" fontId="4" fillId="0" borderId="0" xfId="0" applyFont="1" applyAlignment="1">
      <alignment vertical="center"/>
    </xf>
    <xf numFmtId="166" fontId="0" fillId="0" borderId="0" xfId="0" applyNumberFormat="1" applyAlignment="1">
      <alignment vertical="center"/>
    </xf>
    <xf numFmtId="166" fontId="0" fillId="0" borderId="0" xfId="0" applyNumberFormat="1"/>
    <xf numFmtId="22" fontId="0" fillId="0" borderId="0" xfId="0" applyNumberFormat="1"/>
    <xf numFmtId="14" fontId="0" fillId="0" borderId="0" xfId="0" applyNumberFormat="1" applyAlignment="1">
      <alignment horizontal="center" vertical="center"/>
    </xf>
    <xf numFmtId="47" fontId="0" fillId="0" borderId="0" xfId="0" applyNumberFormat="1"/>
    <xf numFmtId="0" fontId="4" fillId="0" borderId="0" xfId="0" applyNumberFormat="1" applyFont="1" applyAlignment="1">
      <alignment horizontal="center" vertical="center"/>
    </xf>
    <xf numFmtId="0" fontId="0" fillId="0" borderId="0" xfId="0" applyNumberFormat="1" applyAlignment="1">
      <alignment horizontal="center" vertical="center"/>
    </xf>
    <xf numFmtId="0" fontId="0" fillId="0" borderId="0" xfId="0" applyNumberFormat="1"/>
    <xf numFmtId="14" fontId="4" fillId="0" borderId="0" xfId="0" applyNumberFormat="1" applyFont="1" applyAlignment="1">
      <alignment horizontal="center" vertical="center"/>
    </xf>
    <xf numFmtId="14" fontId="0" fillId="0" borderId="0" xfId="0" applyNumberFormat="1"/>
    <xf numFmtId="0" fontId="4" fillId="0" borderId="0" xfId="0" applyFont="1"/>
    <xf numFmtId="167" fontId="0" fillId="0" borderId="12" xfId="1" applyNumberFormat="1" applyFont="1" applyBorder="1" applyAlignment="1">
      <alignment horizontal="center" vertical="center"/>
    </xf>
    <xf numFmtId="167" fontId="0" fillId="0" borderId="12" xfId="0" applyNumberFormat="1" applyBorder="1" applyAlignment="1">
      <alignment horizontal="center" vertical="center"/>
    </xf>
    <xf numFmtId="0" fontId="0" fillId="0" borderId="0" xfId="0" pivotButton="1"/>
    <xf numFmtId="0" fontId="0" fillId="0" borderId="0" xfId="0" applyAlignment="1">
      <alignment horizontal="left"/>
    </xf>
    <xf numFmtId="9" fontId="4" fillId="3" borderId="14" xfId="2" applyFont="1" applyFill="1" applyBorder="1" applyAlignment="1">
      <alignment horizontal="center" vertical="center"/>
    </xf>
    <xf numFmtId="9" fontId="0" fillId="3" borderId="14" xfId="2" applyFont="1" applyFill="1" applyBorder="1" applyAlignment="1">
      <alignment horizontal="center"/>
    </xf>
    <xf numFmtId="9" fontId="0" fillId="3" borderId="14" xfId="2" applyFont="1" applyFill="1" applyBorder="1"/>
    <xf numFmtId="167" fontId="2" fillId="0" borderId="20" xfId="1" applyNumberFormat="1" applyFont="1" applyBorder="1" applyAlignment="1">
      <alignment horizontal="center" vertical="center"/>
    </xf>
    <xf numFmtId="167" fontId="0" fillId="0" borderId="0" xfId="1" applyNumberFormat="1" applyFont="1" applyAlignment="1">
      <alignment horizontal="center" vertical="center"/>
    </xf>
    <xf numFmtId="167" fontId="0" fillId="0" borderId="0" xfId="1" applyNumberFormat="1" applyFont="1"/>
    <xf numFmtId="0" fontId="5" fillId="0" borderId="14" xfId="0" applyFont="1" applyBorder="1" applyAlignment="1">
      <alignment horizontal="center" vertical="center"/>
    </xf>
    <xf numFmtId="0" fontId="6" fillId="0" borderId="0" xfId="0" applyFont="1"/>
    <xf numFmtId="9" fontId="8" fillId="0" borderId="14" xfId="0" applyNumberFormat="1" applyFont="1" applyBorder="1" applyAlignment="1">
      <alignment horizontal="center"/>
    </xf>
    <xf numFmtId="2" fontId="8" fillId="0" borderId="14" xfId="0" applyNumberFormat="1" applyFont="1" applyBorder="1" applyAlignment="1">
      <alignment horizontal="center"/>
    </xf>
    <xf numFmtId="0" fontId="9" fillId="0" borderId="0" xfId="0" applyFont="1"/>
    <xf numFmtId="0" fontId="5" fillId="0" borderId="0" xfId="0" applyFont="1" applyAlignment="1">
      <alignment horizontal="center" vertical="center"/>
    </xf>
    <xf numFmtId="9" fontId="8" fillId="0" borderId="0" xfId="2" applyFont="1" applyBorder="1" applyAlignment="1">
      <alignment horizontal="center" vertical="center"/>
    </xf>
    <xf numFmtId="0" fontId="8" fillId="0" borderId="0" xfId="0" applyFont="1" applyAlignment="1">
      <alignment horizontal="center" vertical="center"/>
    </xf>
    <xf numFmtId="9" fontId="8" fillId="0" borderId="0" xfId="0" applyNumberFormat="1" applyFont="1" applyAlignment="1">
      <alignment horizontal="center"/>
    </xf>
    <xf numFmtId="2" fontId="8" fillId="0" borderId="0" xfId="0" applyNumberFormat="1" applyFont="1" applyAlignment="1">
      <alignment horizont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center" vertical="center"/>
    </xf>
    <xf numFmtId="0" fontId="6" fillId="0" borderId="13" xfId="0" applyFont="1" applyBorder="1" applyAlignment="1">
      <alignment horizontal="center" vertical="center"/>
    </xf>
    <xf numFmtId="166" fontId="6" fillId="0" borderId="0" xfId="0" applyNumberFormat="1" applyFont="1" applyAlignment="1">
      <alignment horizontal="center"/>
    </xf>
    <xf numFmtId="165" fontId="6" fillId="0" borderId="12" xfId="1" applyNumberFormat="1" applyFont="1" applyBorder="1" applyAlignment="1">
      <alignment horizontal="center" vertical="center"/>
    </xf>
    <xf numFmtId="165" fontId="6" fillId="0" borderId="7" xfId="1" applyNumberFormat="1" applyFont="1" applyBorder="1" applyAlignment="1">
      <alignment horizontal="center" vertical="center"/>
    </xf>
    <xf numFmtId="0" fontId="6" fillId="0" borderId="0" xfId="0" applyFont="1" applyAlignment="1">
      <alignment horizontal="center" vertical="center"/>
    </xf>
    <xf numFmtId="165" fontId="6" fillId="0" borderId="0" xfId="0" applyNumberFormat="1" applyFont="1" applyAlignment="1">
      <alignment horizontal="center"/>
    </xf>
    <xf numFmtId="9" fontId="6" fillId="0" borderId="0" xfId="0" applyNumberFormat="1" applyFont="1" applyAlignment="1">
      <alignment horizontal="center"/>
    </xf>
    <xf numFmtId="0" fontId="6" fillId="0" borderId="0" xfId="0" applyFont="1" applyBorder="1" applyAlignment="1">
      <alignment horizontal="center" vertical="center"/>
    </xf>
    <xf numFmtId="0" fontId="6" fillId="0" borderId="0" xfId="0" applyFont="1" applyBorder="1"/>
    <xf numFmtId="165" fontId="6" fillId="0" borderId="0" xfId="1" applyNumberFormat="1" applyFont="1" applyBorder="1" applyAlignment="1">
      <alignment horizontal="center" vertical="center"/>
    </xf>
    <xf numFmtId="0" fontId="11" fillId="0" borderId="0" xfId="0" applyFont="1" applyAlignment="1">
      <alignment horizontal="center" vertical="center"/>
    </xf>
    <xf numFmtId="0" fontId="11" fillId="0" borderId="0" xfId="0" applyNumberFormat="1" applyFont="1" applyAlignment="1">
      <alignment horizontal="center" vertical="center"/>
    </xf>
    <xf numFmtId="22" fontId="11" fillId="0" borderId="0" xfId="0" applyNumberFormat="1" applyFont="1" applyAlignment="1">
      <alignment horizontal="center"/>
    </xf>
    <xf numFmtId="14" fontId="11" fillId="0" borderId="0" xfId="0" applyNumberFormat="1" applyFont="1" applyAlignment="1">
      <alignment horizontal="center" vertical="center"/>
    </xf>
    <xf numFmtId="0" fontId="11" fillId="0" borderId="0" xfId="0" applyFont="1" applyAlignment="1">
      <alignment vertical="center"/>
    </xf>
    <xf numFmtId="0" fontId="11" fillId="0" borderId="0" xfId="0" applyFont="1"/>
    <xf numFmtId="0" fontId="6" fillId="0" borderId="0" xfId="0" applyNumberFormat="1" applyFont="1" applyAlignment="1">
      <alignment horizontal="center"/>
    </xf>
    <xf numFmtId="14" fontId="6" fillId="0" borderId="0" xfId="0" applyNumberFormat="1" applyFont="1" applyAlignment="1">
      <alignment horizontal="center" vertical="center"/>
    </xf>
    <xf numFmtId="166" fontId="6" fillId="0" borderId="0" xfId="0" applyNumberFormat="1" applyFont="1" applyAlignment="1">
      <alignment vertical="center"/>
    </xf>
    <xf numFmtId="0" fontId="6" fillId="0" borderId="0" xfId="0" applyFont="1" applyAlignment="1">
      <alignment vertical="center"/>
    </xf>
    <xf numFmtId="47" fontId="6" fillId="0" borderId="0" xfId="0" applyNumberFormat="1" applyFont="1"/>
    <xf numFmtId="0" fontId="12" fillId="0" borderId="14" xfId="0" applyFont="1" applyBorder="1" applyAlignment="1">
      <alignment horizontal="center" vertical="center"/>
    </xf>
    <xf numFmtId="0" fontId="12" fillId="0" borderId="18" xfId="0" applyFont="1" applyBorder="1" applyAlignment="1">
      <alignment horizontal="center" vertical="center"/>
    </xf>
    <xf numFmtId="0" fontId="11" fillId="2" borderId="14" xfId="0" applyFont="1" applyFill="1" applyBorder="1" applyAlignment="1">
      <alignment horizontal="center"/>
    </xf>
    <xf numFmtId="0" fontId="6" fillId="0" borderId="0" xfId="0" applyFont="1" applyAlignment="1">
      <alignment horizontal="center"/>
    </xf>
    <xf numFmtId="0" fontId="7" fillId="0" borderId="14" xfId="0" applyFont="1" applyBorder="1" applyAlignment="1">
      <alignment horizontal="center" vertical="center"/>
    </xf>
    <xf numFmtId="165" fontId="13" fillId="0" borderId="14" xfId="0" applyNumberFormat="1" applyFont="1" applyBorder="1" applyAlignment="1">
      <alignment horizontal="center" vertical="center"/>
    </xf>
    <xf numFmtId="165" fontId="13" fillId="0" borderId="18" xfId="0" applyNumberFormat="1" applyFont="1" applyBorder="1" applyAlignment="1">
      <alignment horizontal="center" vertical="center"/>
    </xf>
    <xf numFmtId="165" fontId="6" fillId="2" borderId="14" xfId="0" applyNumberFormat="1" applyFont="1" applyFill="1" applyBorder="1" applyAlignment="1">
      <alignment horizontal="center"/>
    </xf>
    <xf numFmtId="0" fontId="11" fillId="0" borderId="14" xfId="0" applyFont="1" applyBorder="1" applyAlignment="1">
      <alignment horizontal="center" vertical="center"/>
    </xf>
    <xf numFmtId="165" fontId="6" fillId="0" borderId="14" xfId="0" applyNumberFormat="1" applyFont="1" applyBorder="1" applyAlignment="1">
      <alignment horizontal="center" vertical="center"/>
    </xf>
    <xf numFmtId="0" fontId="7" fillId="0" borderId="17" xfId="0" applyFont="1" applyBorder="1" applyAlignment="1">
      <alignment horizontal="center" vertical="center"/>
    </xf>
    <xf numFmtId="165" fontId="6" fillId="0" borderId="17" xfId="0" applyNumberFormat="1" applyFont="1" applyBorder="1" applyAlignment="1">
      <alignment horizontal="center" vertical="center"/>
    </xf>
    <xf numFmtId="165" fontId="13" fillId="0" borderId="17" xfId="0" applyNumberFormat="1" applyFont="1" applyBorder="1" applyAlignment="1">
      <alignment horizontal="center" vertical="center"/>
    </xf>
    <xf numFmtId="165" fontId="13" fillId="0" borderId="19" xfId="0" applyNumberFormat="1" applyFont="1" applyBorder="1" applyAlignment="1">
      <alignment horizontal="center" vertical="center"/>
    </xf>
    <xf numFmtId="0" fontId="6" fillId="0" borderId="0" xfId="0" applyFont="1" applyBorder="1" applyAlignment="1">
      <alignment horizontal="center"/>
    </xf>
    <xf numFmtId="0" fontId="6" fillId="2" borderId="14" xfId="0" applyFont="1" applyFill="1" applyBorder="1" applyAlignment="1">
      <alignment horizontal="center"/>
    </xf>
    <xf numFmtId="0" fontId="11" fillId="0" borderId="0" xfId="0" applyFont="1" applyBorder="1" applyAlignment="1">
      <alignment horizontal="center" vertical="center"/>
    </xf>
    <xf numFmtId="165" fontId="6" fillId="0" borderId="0" xfId="0" applyNumberFormat="1" applyFont="1" applyBorder="1" applyAlignment="1">
      <alignment horizontal="center" vertical="center"/>
    </xf>
    <xf numFmtId="165" fontId="13" fillId="0" borderId="0" xfId="0" applyNumberFormat="1" applyFont="1" applyBorder="1" applyAlignment="1">
      <alignment horizontal="center" vertical="center"/>
    </xf>
    <xf numFmtId="0" fontId="11" fillId="0" borderId="0" xfId="0" applyFont="1" applyBorder="1" applyAlignment="1">
      <alignment horizontal="center"/>
    </xf>
    <xf numFmtId="165" fontId="6" fillId="0" borderId="0" xfId="0" applyNumberFormat="1" applyFont="1" applyBorder="1" applyAlignment="1">
      <alignment horizontal="center"/>
    </xf>
    <xf numFmtId="0" fontId="11" fillId="0" borderId="0" xfId="0" applyFont="1" applyAlignment="1">
      <alignment horizontal="center"/>
    </xf>
    <xf numFmtId="0" fontId="0" fillId="0" borderId="0" xfId="0" applyAlignment="1">
      <alignment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0" xfId="0" applyFont="1" applyAlignment="1">
      <alignment horizontal="center" vertical="center"/>
    </xf>
    <xf numFmtId="0" fontId="7" fillId="0" borderId="14" xfId="0" applyFont="1" applyBorder="1" applyAlignment="1">
      <alignment horizontal="left" vertical="center"/>
    </xf>
    <xf numFmtId="0" fontId="5" fillId="0" borderId="14" xfId="0" applyFont="1" applyBorder="1" applyAlignment="1">
      <alignment horizontal="center" vertical="center"/>
    </xf>
    <xf numFmtId="0" fontId="7" fillId="0" borderId="0" xfId="0" applyFont="1" applyAlignment="1">
      <alignment horizontal="center"/>
    </xf>
    <xf numFmtId="0" fontId="7" fillId="0" borderId="0" xfId="0" applyFont="1" applyAlignment="1">
      <alignment horizontal="left" vertical="center"/>
    </xf>
    <xf numFmtId="0" fontId="5" fillId="0" borderId="0" xfId="0" applyFont="1" applyAlignment="1">
      <alignment horizontal="center" vertic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9" fontId="0" fillId="3" borderId="17" xfId="2" applyFont="1" applyFill="1" applyBorder="1" applyAlignment="1">
      <alignment horizontal="center"/>
    </xf>
    <xf numFmtId="9" fontId="0" fillId="3" borderId="21" xfId="2" applyFont="1" applyFill="1" applyBorder="1" applyAlignment="1">
      <alignment horizontal="center"/>
    </xf>
    <xf numFmtId="9" fontId="0" fillId="4" borderId="0" xfId="2" applyFont="1" applyFill="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PH"/>
              <a:t>REvenue</a:t>
            </a:r>
            <a:r>
              <a:rPr lang="en-PH" baseline="0"/>
              <a:t>, net income &amp; GROSS PROFIT </a:t>
            </a:r>
          </a:p>
          <a:p>
            <a:pPr>
              <a:defRPr/>
            </a:pPr>
            <a:r>
              <a:rPr lang="en-PH" baseline="0"/>
              <a:t>trends</a:t>
            </a:r>
            <a:endParaRPr lang="en-PH"/>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Dashboard!$B$3</c:f>
              <c:strCache>
                <c:ptCount val="1"/>
                <c:pt idx="0">
                  <c:v>Revenue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Dashboard!$A$4:$A$12</c:f>
              <c:numCache>
                <c:formatCode>General</c:formatCode>
                <c:ptCount val="9"/>
                <c:pt idx="0">
                  <c:v>2011</c:v>
                </c:pt>
                <c:pt idx="1">
                  <c:v>2012</c:v>
                </c:pt>
                <c:pt idx="2">
                  <c:v>2013</c:v>
                </c:pt>
                <c:pt idx="3">
                  <c:v>2014</c:v>
                </c:pt>
                <c:pt idx="5">
                  <c:v>2026</c:v>
                </c:pt>
                <c:pt idx="6">
                  <c:v>2027</c:v>
                </c:pt>
                <c:pt idx="7">
                  <c:v>2028</c:v>
                </c:pt>
                <c:pt idx="8">
                  <c:v>2029</c:v>
                </c:pt>
              </c:numCache>
            </c:numRef>
          </c:cat>
          <c:val>
            <c:numRef>
              <c:f>Dashboard!$B$4:$B$12</c:f>
              <c:numCache>
                <c:formatCode>[$$-45C]#,##0.00</c:formatCode>
                <c:ptCount val="9"/>
                <c:pt idx="0">
                  <c:v>3730.6059999999998</c:v>
                </c:pt>
                <c:pt idx="1">
                  <c:v>4103.6666000000005</c:v>
                </c:pt>
                <c:pt idx="2">
                  <c:v>4514.0332600000011</c:v>
                </c:pt>
                <c:pt idx="3">
                  <c:v>4965.4365860000016</c:v>
                </c:pt>
                <c:pt idx="5">
                  <c:v>28380.99</c:v>
                </c:pt>
                <c:pt idx="6">
                  <c:v>31219.089000000004</c:v>
                </c:pt>
                <c:pt idx="7">
                  <c:v>34340.997900000009</c:v>
                </c:pt>
                <c:pt idx="8">
                  <c:v>37775.097690000017</c:v>
                </c:pt>
              </c:numCache>
            </c:numRef>
          </c:val>
          <c:smooth val="0"/>
          <c:extLst>
            <c:ext xmlns:c16="http://schemas.microsoft.com/office/drawing/2014/chart" uri="{C3380CC4-5D6E-409C-BE32-E72D297353CC}">
              <c16:uniqueId val="{00000000-E590-4922-887B-321C7F6A6A96}"/>
            </c:ext>
          </c:extLst>
        </c:ser>
        <c:ser>
          <c:idx val="1"/>
          <c:order val="1"/>
          <c:tx>
            <c:strRef>
              <c:f>Dashboard!$C$3</c:f>
              <c:strCache>
                <c:ptCount val="1"/>
                <c:pt idx="0">
                  <c:v>Net Income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Dashboard!$A$4:$A$12</c:f>
              <c:numCache>
                <c:formatCode>General</c:formatCode>
                <c:ptCount val="9"/>
                <c:pt idx="0">
                  <c:v>2011</c:v>
                </c:pt>
                <c:pt idx="1">
                  <c:v>2012</c:v>
                </c:pt>
                <c:pt idx="2">
                  <c:v>2013</c:v>
                </c:pt>
                <c:pt idx="3">
                  <c:v>2014</c:v>
                </c:pt>
                <c:pt idx="5">
                  <c:v>2026</c:v>
                </c:pt>
                <c:pt idx="6">
                  <c:v>2027</c:v>
                </c:pt>
                <c:pt idx="7">
                  <c:v>2028</c:v>
                </c:pt>
                <c:pt idx="8">
                  <c:v>2029</c:v>
                </c:pt>
              </c:numCache>
            </c:numRef>
          </c:cat>
          <c:val>
            <c:numRef>
              <c:f>Dashboard!$C$4:$C$12</c:f>
              <c:numCache>
                <c:formatCode>[$$-45C]#,##0.00</c:formatCode>
                <c:ptCount val="9"/>
                <c:pt idx="0">
                  <c:v>522.28484000000003</c:v>
                </c:pt>
                <c:pt idx="1">
                  <c:v>574.51332400000001</c:v>
                </c:pt>
                <c:pt idx="2">
                  <c:v>631.96465640000019</c:v>
                </c:pt>
                <c:pt idx="3">
                  <c:v>695.16112204000024</c:v>
                </c:pt>
                <c:pt idx="5">
                  <c:v>3973.3386</c:v>
                </c:pt>
                <c:pt idx="6">
                  <c:v>4370.6724600000007</c:v>
                </c:pt>
                <c:pt idx="7">
                  <c:v>4807.7397060000021</c:v>
                </c:pt>
                <c:pt idx="8">
                  <c:v>5288.5136766000032</c:v>
                </c:pt>
              </c:numCache>
            </c:numRef>
          </c:val>
          <c:smooth val="0"/>
          <c:extLst>
            <c:ext xmlns:c16="http://schemas.microsoft.com/office/drawing/2014/chart" uri="{C3380CC4-5D6E-409C-BE32-E72D297353CC}">
              <c16:uniqueId val="{00000001-E590-4922-887B-321C7F6A6A96}"/>
            </c:ext>
          </c:extLst>
        </c:ser>
        <c:ser>
          <c:idx val="2"/>
          <c:order val="2"/>
          <c:tx>
            <c:strRef>
              <c:f>Dashboard!$D$3</c:f>
              <c:strCache>
                <c:ptCount val="1"/>
                <c:pt idx="0">
                  <c:v>GROSS PROFIT</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numRef>
              <c:f>Dashboard!$A$4:$A$12</c:f>
              <c:numCache>
                <c:formatCode>General</c:formatCode>
                <c:ptCount val="9"/>
                <c:pt idx="0">
                  <c:v>2011</c:v>
                </c:pt>
                <c:pt idx="1">
                  <c:v>2012</c:v>
                </c:pt>
                <c:pt idx="2">
                  <c:v>2013</c:v>
                </c:pt>
                <c:pt idx="3">
                  <c:v>2014</c:v>
                </c:pt>
                <c:pt idx="5">
                  <c:v>2026</c:v>
                </c:pt>
                <c:pt idx="6">
                  <c:v>2027</c:v>
                </c:pt>
                <c:pt idx="7">
                  <c:v>2028</c:v>
                </c:pt>
                <c:pt idx="8">
                  <c:v>2029</c:v>
                </c:pt>
              </c:numCache>
            </c:numRef>
          </c:cat>
          <c:val>
            <c:numRef>
              <c:f>Dashboard!$D$4:$D$12</c:f>
              <c:numCache>
                <c:formatCode>_([$$-409]* #,##0.00_);_([$$-409]* \(#,##0.00\);_([$$-409]* "-"??_);_(@_)</c:formatCode>
                <c:ptCount val="9"/>
                <c:pt idx="0">
                  <c:v>1492.2424000000001</c:v>
                </c:pt>
                <c:pt idx="1">
                  <c:v>1641.4666400000001</c:v>
                </c:pt>
                <c:pt idx="2">
                  <c:v>1805.6133040000004</c:v>
                </c:pt>
                <c:pt idx="3">
                  <c:v>1986.1746344000007</c:v>
                </c:pt>
                <c:pt idx="5">
                  <c:v>11352.396000000001</c:v>
                </c:pt>
                <c:pt idx="6">
                  <c:v>12487.635600000001</c:v>
                </c:pt>
                <c:pt idx="7">
                  <c:v>13736.399160000004</c:v>
                </c:pt>
                <c:pt idx="8">
                  <c:v>15110.039076000008</c:v>
                </c:pt>
              </c:numCache>
            </c:numRef>
          </c:val>
          <c:smooth val="0"/>
          <c:extLst>
            <c:ext xmlns:c16="http://schemas.microsoft.com/office/drawing/2014/chart" uri="{C3380CC4-5D6E-409C-BE32-E72D297353CC}">
              <c16:uniqueId val="{00000002-E590-4922-887B-321C7F6A6A96}"/>
            </c:ext>
          </c:extLst>
        </c:ser>
        <c:dLbls>
          <c:showLegendKey val="0"/>
          <c:showVal val="0"/>
          <c:showCatName val="0"/>
          <c:showSerName val="0"/>
          <c:showPercent val="0"/>
          <c:showBubbleSize val="0"/>
        </c:dLbls>
        <c:marker val="1"/>
        <c:smooth val="0"/>
        <c:axId val="1008986720"/>
        <c:axId val="1008984320"/>
      </c:lineChart>
      <c:catAx>
        <c:axId val="100898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08984320"/>
        <c:crosses val="autoZero"/>
        <c:auto val="1"/>
        <c:lblAlgn val="ctr"/>
        <c:lblOffset val="100"/>
        <c:noMultiLvlLbl val="0"/>
      </c:catAx>
      <c:valAx>
        <c:axId val="1008984320"/>
        <c:scaling>
          <c:orientation val="minMax"/>
        </c:scaling>
        <c:delete val="0"/>
        <c:axPos val="l"/>
        <c:numFmt formatCode="[$$-45C]#,##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8672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[financialmodelling.xlsx]Best Sellers!PivotTable1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Sold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623220153340634E-3"/>
          <c:y val="0.20689287605391848"/>
          <c:w val="0.69642578905457186"/>
          <c:h val="0.78682522444806469"/>
        </c:manualLayout>
      </c:layout>
      <c:pie3DChart>
        <c:varyColors val="1"/>
        <c:ser>
          <c:idx val="0"/>
          <c:order val="0"/>
          <c:tx>
            <c:strRef>
              <c:f>'Best Sellers'!$B$1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DE-4F2F-B927-B9626E71B36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DE-4F2F-B927-B9626E71B36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DE-4F2F-B927-B9626E71B36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DE-4F2F-B927-B9626E71B36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ADE-4F2F-B927-B9626E71B36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ADE-4F2F-B927-B9626E71B36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ADE-4F2F-B927-B9626E71B36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ADE-4F2F-B927-B9626E71B36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ADE-4F2F-B927-B9626E71B36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ADE-4F2F-B927-B9626E71B36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ADE-4F2F-B927-B9626E71B36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ADE-4F2F-B927-B9626E71B36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AADE-4F2F-B927-B9626E71B36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AADE-4F2F-B927-B9626E71B36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AADE-4F2F-B927-B9626E71B36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AADE-4F2F-B927-B9626E71B36F}"/>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AADE-4F2F-B927-B9626E71B36F}"/>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AADE-4F2F-B927-B9626E71B36F}"/>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AADE-4F2F-B927-B9626E71B36F}"/>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AADE-4F2F-B927-B9626E71B36F}"/>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AADE-4F2F-B927-B9626E71B36F}"/>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AADE-4F2F-B927-B9626E71B36F}"/>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AADE-4F2F-B927-B9626E71B36F}"/>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AADE-4F2F-B927-B9626E71B36F}"/>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AADE-4F2F-B927-B9626E71B36F}"/>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AADE-4F2F-B927-B9626E71B36F}"/>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AADE-4F2F-B927-B9626E71B36F}"/>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AADE-4F2F-B927-B9626E71B36F}"/>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AADE-4F2F-B927-B9626E71B36F}"/>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AADE-4F2F-B927-B9626E71B36F}"/>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AADE-4F2F-B927-B9626E71B36F}"/>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AADE-4F2F-B927-B9626E71B36F}"/>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AADE-4F2F-B927-B9626E71B36F}"/>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AADE-4F2F-B927-B9626E71B36F}"/>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AADE-4F2F-B927-B9626E71B36F}"/>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AADE-4F2F-B927-B9626E71B36F}"/>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AADE-4F2F-B927-B9626E71B36F}"/>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AADE-4F2F-B927-B9626E71B36F}"/>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AADE-4F2F-B927-B9626E71B36F}"/>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AADE-4F2F-B927-B9626E71B36F}"/>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AADE-4F2F-B927-B9626E71B36F}"/>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AADE-4F2F-B927-B9626E71B36F}"/>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AADE-4F2F-B927-B9626E71B36F}"/>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AADE-4F2F-B927-B9626E71B36F}"/>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AADE-4F2F-B927-B9626E71B36F}"/>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AADE-4F2F-B927-B9626E71B36F}"/>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AADE-4F2F-B927-B9626E71B36F}"/>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AADE-4F2F-B927-B9626E71B36F}"/>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AADE-4F2F-B927-B9626E71B36F}"/>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AADE-4F2F-B927-B9626E71B36F}"/>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AADE-4F2F-B927-B9626E71B36F}"/>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AADE-4F2F-B927-B9626E71B36F}"/>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AADE-4F2F-B927-B9626E71B36F}"/>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AADE-4F2F-B927-B9626E71B36F}"/>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AADE-4F2F-B927-B9626E71B36F}"/>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AADE-4F2F-B927-B9626E71B36F}"/>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AADE-4F2F-B927-B9626E71B36F}"/>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AADE-4F2F-B927-B9626E71B36F}"/>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AADE-4F2F-B927-B9626E71B36F}"/>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AADE-4F2F-B927-B9626E71B36F}"/>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AADE-4F2F-B927-B9626E71B36F}"/>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AADE-4F2F-B927-B9626E71B36F}"/>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AADE-4F2F-B927-B9626E71B36F}"/>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AADE-4F2F-B927-B9626E71B36F}"/>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AADE-4F2F-B927-B9626E71B36F}"/>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AADE-4F2F-B927-B9626E71B36F}"/>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AADE-4F2F-B927-B9626E71B36F}"/>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AADE-4F2F-B927-B9626E71B36F}"/>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AADE-4F2F-B927-B9626E71B36F}"/>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AADE-4F2F-B927-B9626E71B36F}"/>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AADE-4F2F-B927-B9626E71B36F}"/>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AADE-4F2F-B927-B9626E71B36F}"/>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AADE-4F2F-B927-B9626E71B36F}"/>
              </c:ext>
            </c:extLst>
          </c:dPt>
          <c:dPt>
            <c:idx val="7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3-AADE-4F2F-B927-B9626E71B36F}"/>
              </c:ext>
            </c:extLst>
          </c:dPt>
          <c:dPt>
            <c:idx val="7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5-AADE-4F2F-B927-B9626E71B36F}"/>
              </c:ext>
            </c:extLst>
          </c:dPt>
          <c:dPt>
            <c:idx val="7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7-AADE-4F2F-B927-B9626E71B36F}"/>
              </c:ext>
            </c:extLst>
          </c:dPt>
          <c:dPt>
            <c:idx val="7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9-AADE-4F2F-B927-B9626E71B36F}"/>
              </c:ext>
            </c:extLst>
          </c:dPt>
          <c:dPt>
            <c:idx val="77"/>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B-AADE-4F2F-B927-B9626E71B36F}"/>
              </c:ext>
            </c:extLst>
          </c:dPt>
          <c:cat>
            <c:strRef>
              <c:f>'Best Sellers'!$A$2:$A$80</c:f>
              <c:strCache>
                <c:ptCount val="78"/>
                <c:pt idx="0">
                  <c:v>WHITE HANGING HEART T-LIGHT HOLDER</c:v>
                </c:pt>
                <c:pt idx="1">
                  <c:v>VICTORIAN SEWING BOX LARGE</c:v>
                </c:pt>
                <c:pt idx="2">
                  <c:v>PAPER CHAIN KIT 50'S CHRISTMAS</c:v>
                </c:pt>
                <c:pt idx="3">
                  <c:v>HOT WATER BOTTLE TEA AND SYMPATHY</c:v>
                </c:pt>
                <c:pt idx="4">
                  <c:v>RED HANGING HEART T-LIGHT HOLDER</c:v>
                </c:pt>
                <c:pt idx="5">
                  <c:v>RETROSPOT TEA SET CERAMIC 11 PC</c:v>
                </c:pt>
                <c:pt idx="6">
                  <c:v>ALARM CLOCK BAKELIKE RED</c:v>
                </c:pt>
                <c:pt idx="7">
                  <c:v>ALARM CLOCK BAKELIKE PINK</c:v>
                </c:pt>
                <c:pt idx="8">
                  <c:v>GLASS STAR FROSTED T-LIGHT HOLDER</c:v>
                </c:pt>
                <c:pt idx="9">
                  <c:v>SET 2 TEA TOWELS I LOVE LONDON</c:v>
                </c:pt>
                <c:pt idx="10">
                  <c:v>ROUND SNACK BOXES SET OF4 WOODLAND</c:v>
                </c:pt>
                <c:pt idx="11">
                  <c:v>CREAM CUPID HEARTS COAT HANGER</c:v>
                </c:pt>
                <c:pt idx="12">
                  <c:v>WHITE METAL LANTERN</c:v>
                </c:pt>
                <c:pt idx="13">
                  <c:v>KNITTED UNION FLAG HOT WATER BOTTLE</c:v>
                </c:pt>
                <c:pt idx="14">
                  <c:v>EDWARDIAN PARASOL RED</c:v>
                </c:pt>
                <c:pt idx="15">
                  <c:v>RED WOOLLY HOTTIE WHITE HEART.</c:v>
                </c:pt>
                <c:pt idx="16">
                  <c:v>WOOD S/3 CABINET ANT WHITE FINISH</c:v>
                </c:pt>
                <c:pt idx="17">
                  <c:v>ASSORTED COLOUR BIRD ORNAMENT</c:v>
                </c:pt>
                <c:pt idx="18">
                  <c:v>POSTAGE</c:v>
                </c:pt>
                <c:pt idx="19">
                  <c:v>SET/2 RED RETROSPOT TEA TOWELS</c:v>
                </c:pt>
                <c:pt idx="20">
                  <c:v>LUNCH BOX I LOVE LONDON</c:v>
                </c:pt>
                <c:pt idx="21">
                  <c:v>SPACEBOY LUNCH BOX</c:v>
                </c:pt>
                <c:pt idx="22">
                  <c:v>CIRCUS PARADE LUNCH BOX</c:v>
                </c:pt>
                <c:pt idx="23">
                  <c:v>SET 7 BABUSHKA NESTING BOXES</c:v>
                </c:pt>
                <c:pt idx="24">
                  <c:v>VINTAGE SEASIDE JIGSAW PUZZLES</c:v>
                </c:pt>
                <c:pt idx="25">
                  <c:v>ALARM CLOCK BAKELIKE GREEN</c:v>
                </c:pt>
                <c:pt idx="26">
                  <c:v>INFLATABLE POLITICAL GLOBE</c:v>
                </c:pt>
                <c:pt idx="27">
                  <c:v>RED TOADSTOOL LED NIGHT LIGHT</c:v>
                </c:pt>
                <c:pt idx="28">
                  <c:v>JAM MAKING SET PRINTED</c:v>
                </c:pt>
                <c:pt idx="29">
                  <c:v>HAND WARMER UNION JACK</c:v>
                </c:pt>
                <c:pt idx="30">
                  <c:v>HAND WARMER RED POLKA DOT</c:v>
                </c:pt>
                <c:pt idx="31">
                  <c:v>DOORMAT NEW ENGLAND</c:v>
                </c:pt>
                <c:pt idx="32">
                  <c:v>RECIPE BOX WITH METAL HEART</c:v>
                </c:pt>
                <c:pt idx="33">
                  <c:v>WOODEN FRAME ANTIQUE WHITE</c:v>
                </c:pt>
                <c:pt idx="34">
                  <c:v>VINTAGE HEADS AND TAILS CARD GAME</c:v>
                </c:pt>
                <c:pt idx="35">
                  <c:v>CLEAR DRAWER KNOB ACRYLIC EDWARDIAN</c:v>
                </c:pt>
                <c:pt idx="36">
                  <c:v>FELTCRAFT PRINCESS CHARLOTTE DOLL</c:v>
                </c:pt>
                <c:pt idx="37">
                  <c:v>RED DRAWER KNOB ACRYLIC EDWARDIAN</c:v>
                </c:pt>
                <c:pt idx="38">
                  <c:v>BOX OF 6 ASSORTED COLOUR TEASPOONS</c:v>
                </c:pt>
                <c:pt idx="39">
                  <c:v>JAM MAKING SET WITH JARS</c:v>
                </c:pt>
                <c:pt idx="40">
                  <c:v>WOODEN PICTURE FRAME WHITE FINISH</c:v>
                </c:pt>
                <c:pt idx="41">
                  <c:v>GIRLY PINK TOOL SET</c:v>
                </c:pt>
                <c:pt idx="42">
                  <c:v>MINI PAINT SET VINTAGE</c:v>
                </c:pt>
                <c:pt idx="43">
                  <c:v>BOX OF VINTAGE ALPHABET BLOCKS</c:v>
                </c:pt>
                <c:pt idx="44">
                  <c:v>WOOD 2 DRAWER CABINET WHITE FINISH</c:v>
                </c:pt>
                <c:pt idx="45">
                  <c:v>JUMBO STORAGE BAG SUKI</c:v>
                </c:pt>
                <c:pt idx="46">
                  <c:v>JUMBO BAG PINK VINTAGE PAISLEY</c:v>
                </c:pt>
                <c:pt idx="47">
                  <c:v>JUMBO SHOPPER VINTAGE RED PAISLEY</c:v>
                </c:pt>
                <c:pt idx="48">
                  <c:v>HOME BUILDING BLOCK WORD</c:v>
                </c:pt>
                <c:pt idx="49">
                  <c:v>LOVE BUILDING BLOCK WORD</c:v>
                </c:pt>
                <c:pt idx="50">
                  <c:v>BATH BUILDING BLOCK WORD</c:v>
                </c:pt>
                <c:pt idx="51">
                  <c:v>CHARLOTTE BAG DOLLY GIRL DESIGN</c:v>
                </c:pt>
                <c:pt idx="52">
                  <c:v>STARS GIFT TAPE</c:v>
                </c:pt>
                <c:pt idx="53">
                  <c:v>RED COAT RACK PARIS FASHION</c:v>
                </c:pt>
                <c:pt idx="54">
                  <c:v>BLUE COAT RACK PARIS FASHION</c:v>
                </c:pt>
                <c:pt idx="55">
                  <c:v>YELLOW COAT RACK PARIS FASHION</c:v>
                </c:pt>
                <c:pt idx="56">
                  <c:v>BOX OF VINTAGE JIGSAW BLOCKS</c:v>
                </c:pt>
                <c:pt idx="57">
                  <c:v>VINTAGE BILLBOARD LOVE/HATE MUG</c:v>
                </c:pt>
                <c:pt idx="58">
                  <c:v>SAVE THE PLANET MUG</c:v>
                </c:pt>
                <c:pt idx="59">
                  <c:v>RETRO COFFEE MUGS ASSORTED</c:v>
                </c:pt>
                <c:pt idx="60">
                  <c:v>VINTAGE BILLBOARD DRINK ME MUG</c:v>
                </c:pt>
                <c:pt idx="61">
                  <c:v>POPPY'S PLAYHOUSE BEDROOM</c:v>
                </c:pt>
                <c:pt idx="62">
                  <c:v>POPPY'S PLAYHOUSE KITCHEN</c:v>
                </c:pt>
                <c:pt idx="63">
                  <c:v>PANDA AND BUNNIES STICKER SHEET</c:v>
                </c:pt>
                <c:pt idx="64">
                  <c:v>MINI JIGSAW SPACEBOY</c:v>
                </c:pt>
                <c:pt idx="65">
                  <c:v>MINI JIGSAW CIRCUS PARADE</c:v>
                </c:pt>
                <c:pt idx="66">
                  <c:v>IVORY KNITTED MUG COSY</c:v>
                </c:pt>
                <c:pt idx="67">
                  <c:v>WHITE SPOT RED CERAMIC DRAWER KNOB</c:v>
                </c:pt>
                <c:pt idx="68">
                  <c:v>YOU'RE CONFUSING ME METAL SIGN</c:v>
                </c:pt>
                <c:pt idx="69">
                  <c:v>AIRLINE LOUNGE,METAL SIGN</c:v>
                </c:pt>
                <c:pt idx="70">
                  <c:v>GIN + TONIC DIET METAL SIGN</c:v>
                </c:pt>
                <c:pt idx="71">
                  <c:v>PINK BREAKFAST CUP AND SAUCER</c:v>
                </c:pt>
                <c:pt idx="72">
                  <c:v>YELLOW BREAKFAST CUP AND SAUCER</c:v>
                </c:pt>
                <c:pt idx="73">
                  <c:v>PAPER CHAIN KIT RETROSPOT</c:v>
                </c:pt>
                <c:pt idx="74">
                  <c:v>PIGGY BANK RETROSPOT</c:v>
                </c:pt>
                <c:pt idx="75">
                  <c:v>COOK WITH WINE METAL SIGN</c:v>
                </c:pt>
                <c:pt idx="76">
                  <c:v>PHOTO CLIP LINE</c:v>
                </c:pt>
                <c:pt idx="77">
                  <c:v>FELT EGG COSY CHICKEN</c:v>
                </c:pt>
              </c:strCache>
            </c:strRef>
          </c:cat>
          <c:val>
            <c:numRef>
              <c:f>'Best Sellers'!$B$2:$B$80</c:f>
              <c:numCache>
                <c:formatCode>General</c:formatCode>
                <c:ptCount val="78"/>
                <c:pt idx="0">
                  <c:v>26086.5</c:v>
                </c:pt>
                <c:pt idx="1">
                  <c:v>350.4</c:v>
                </c:pt>
                <c:pt idx="2">
                  <c:v>215.8</c:v>
                </c:pt>
                <c:pt idx="3">
                  <c:v>165.6</c:v>
                </c:pt>
                <c:pt idx="4">
                  <c:v>163.19999999999999</c:v>
                </c:pt>
                <c:pt idx="5">
                  <c:v>97.75</c:v>
                </c:pt>
                <c:pt idx="6">
                  <c:v>90</c:v>
                </c:pt>
                <c:pt idx="7">
                  <c:v>90</c:v>
                </c:pt>
                <c:pt idx="8">
                  <c:v>76.5</c:v>
                </c:pt>
                <c:pt idx="9">
                  <c:v>70.8</c:v>
                </c:pt>
                <c:pt idx="10">
                  <c:v>70.8</c:v>
                </c:pt>
                <c:pt idx="11">
                  <c:v>66</c:v>
                </c:pt>
                <c:pt idx="12">
                  <c:v>61.019999999999996</c:v>
                </c:pt>
                <c:pt idx="13">
                  <c:v>61.019999999999996</c:v>
                </c:pt>
                <c:pt idx="14">
                  <c:v>59.4</c:v>
                </c:pt>
                <c:pt idx="15">
                  <c:v>57.629999999999995</c:v>
                </c:pt>
                <c:pt idx="16">
                  <c:v>55.6</c:v>
                </c:pt>
                <c:pt idx="17">
                  <c:v>54.08</c:v>
                </c:pt>
                <c:pt idx="18">
                  <c:v>54</c:v>
                </c:pt>
                <c:pt idx="19">
                  <c:v>53.1</c:v>
                </c:pt>
                <c:pt idx="20">
                  <c:v>46.8</c:v>
                </c:pt>
                <c:pt idx="21">
                  <c:v>46.8</c:v>
                </c:pt>
                <c:pt idx="22">
                  <c:v>46.8</c:v>
                </c:pt>
                <c:pt idx="23">
                  <c:v>45.900000000000006</c:v>
                </c:pt>
                <c:pt idx="24">
                  <c:v>45</c:v>
                </c:pt>
                <c:pt idx="25">
                  <c:v>45</c:v>
                </c:pt>
                <c:pt idx="26">
                  <c:v>40.799999999999997</c:v>
                </c:pt>
                <c:pt idx="27">
                  <c:v>39.6</c:v>
                </c:pt>
                <c:pt idx="28">
                  <c:v>34.799999999999997</c:v>
                </c:pt>
                <c:pt idx="29">
                  <c:v>33.299999999999997</c:v>
                </c:pt>
                <c:pt idx="30">
                  <c:v>33.299999999999997</c:v>
                </c:pt>
                <c:pt idx="31">
                  <c:v>31.8</c:v>
                </c:pt>
                <c:pt idx="32">
                  <c:v>31.8</c:v>
                </c:pt>
                <c:pt idx="33">
                  <c:v>30.6</c:v>
                </c:pt>
                <c:pt idx="34">
                  <c:v>30</c:v>
                </c:pt>
                <c:pt idx="35">
                  <c:v>30</c:v>
                </c:pt>
                <c:pt idx="36">
                  <c:v>30</c:v>
                </c:pt>
                <c:pt idx="37">
                  <c:v>30</c:v>
                </c:pt>
                <c:pt idx="38">
                  <c:v>25.5</c:v>
                </c:pt>
                <c:pt idx="39">
                  <c:v>25.5</c:v>
                </c:pt>
                <c:pt idx="40">
                  <c:v>25.2</c:v>
                </c:pt>
                <c:pt idx="41">
                  <c:v>24.75</c:v>
                </c:pt>
                <c:pt idx="42">
                  <c:v>23.4</c:v>
                </c:pt>
                <c:pt idx="43">
                  <c:v>19.899999999999999</c:v>
                </c:pt>
                <c:pt idx="44">
                  <c:v>19.8</c:v>
                </c:pt>
                <c:pt idx="45">
                  <c:v>19.5</c:v>
                </c:pt>
                <c:pt idx="46">
                  <c:v>19.5</c:v>
                </c:pt>
                <c:pt idx="47">
                  <c:v>19.5</c:v>
                </c:pt>
                <c:pt idx="48">
                  <c:v>17.850000000000001</c:v>
                </c:pt>
                <c:pt idx="49">
                  <c:v>17.850000000000001</c:v>
                </c:pt>
                <c:pt idx="50">
                  <c:v>17.850000000000001</c:v>
                </c:pt>
                <c:pt idx="51">
                  <c:v>17</c:v>
                </c:pt>
                <c:pt idx="52">
                  <c:v>15.6</c:v>
                </c:pt>
                <c:pt idx="53">
                  <c:v>14.85</c:v>
                </c:pt>
                <c:pt idx="54">
                  <c:v>14.85</c:v>
                </c:pt>
                <c:pt idx="55">
                  <c:v>14.85</c:v>
                </c:pt>
                <c:pt idx="56">
                  <c:v>14.85</c:v>
                </c:pt>
                <c:pt idx="57">
                  <c:v>12.72</c:v>
                </c:pt>
                <c:pt idx="58">
                  <c:v>12.72</c:v>
                </c:pt>
                <c:pt idx="59">
                  <c:v>12.72</c:v>
                </c:pt>
                <c:pt idx="60">
                  <c:v>12.72</c:v>
                </c:pt>
                <c:pt idx="61">
                  <c:v>12.6</c:v>
                </c:pt>
                <c:pt idx="62">
                  <c:v>12.6</c:v>
                </c:pt>
                <c:pt idx="63">
                  <c:v>10.199999999999999</c:v>
                </c:pt>
                <c:pt idx="64">
                  <c:v>10.08</c:v>
                </c:pt>
                <c:pt idx="65">
                  <c:v>10.08</c:v>
                </c:pt>
                <c:pt idx="66">
                  <c:v>9.9</c:v>
                </c:pt>
                <c:pt idx="67">
                  <c:v>7.5</c:v>
                </c:pt>
                <c:pt idx="68">
                  <c:v>5.07</c:v>
                </c:pt>
                <c:pt idx="69">
                  <c:v>4.2</c:v>
                </c:pt>
                <c:pt idx="70">
                  <c:v>4.2</c:v>
                </c:pt>
                <c:pt idx="71">
                  <c:v>2.95</c:v>
                </c:pt>
                <c:pt idx="72">
                  <c:v>2.95</c:v>
                </c:pt>
                <c:pt idx="73">
                  <c:v>2.95</c:v>
                </c:pt>
                <c:pt idx="74">
                  <c:v>2.5499999999999998</c:v>
                </c:pt>
                <c:pt idx="75">
                  <c:v>1.95</c:v>
                </c:pt>
                <c:pt idx="76">
                  <c:v>1.25</c:v>
                </c:pt>
                <c:pt idx="77">
                  <c:v>0.85</c:v>
                </c:pt>
              </c:numCache>
            </c:numRef>
          </c:val>
          <c:extLst>
            <c:ext xmlns:c16="http://schemas.microsoft.com/office/drawing/2014/chart" uri="{C3380CC4-5D6E-409C-BE32-E72D297353CC}">
              <c16:uniqueId val="{00000000-EE5E-4A29-AA44-6254D81B854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'Projected Profit growth'!$B$1</c:f>
              <c:strCache>
                <c:ptCount val="1"/>
                <c:pt idx="0">
                  <c:v> Net Income </c:v>
                </c:pt>
              </c:strCache>
            </c:strRef>
          </c:tx>
          <c:spPr>
            <a:solidFill>
              <a:schemeClr val="accent1"/>
            </a:solidFill>
            <a:ln>
              <a:noFill/>
            </a:ln>
            <a:effectLst/>
          </c:spPr>
          <c:invertIfNegative val="0"/>
          <c:cat>
            <c:numRef>
              <c:f>'Projected Profit growth'!$A$2:$A$10</c:f>
              <c:numCache>
                <c:formatCode>General</c:formatCode>
                <c:ptCount val="9"/>
                <c:pt idx="0">
                  <c:v>2011</c:v>
                </c:pt>
                <c:pt idx="1">
                  <c:v>2012</c:v>
                </c:pt>
                <c:pt idx="2">
                  <c:v>2013</c:v>
                </c:pt>
                <c:pt idx="3">
                  <c:v>2014</c:v>
                </c:pt>
                <c:pt idx="5">
                  <c:v>2026</c:v>
                </c:pt>
                <c:pt idx="6">
                  <c:v>2027</c:v>
                </c:pt>
                <c:pt idx="7">
                  <c:v>2028</c:v>
                </c:pt>
                <c:pt idx="8">
                  <c:v>2029</c:v>
                </c:pt>
              </c:numCache>
            </c:numRef>
          </c:cat>
          <c:val>
            <c:numRef>
              <c:f>'Projected Profit growth'!$B$2:$B$10</c:f>
              <c:numCache>
                <c:formatCode>_([$$-409]* #,##0.00_);_([$$-409]* \(#,##0.00\);_([$$-409]* "-"??_);_(@_)</c:formatCode>
                <c:ptCount val="9"/>
                <c:pt idx="0">
                  <c:v>522.28484000000003</c:v>
                </c:pt>
                <c:pt idx="1">
                  <c:v>574.51332400000001</c:v>
                </c:pt>
                <c:pt idx="2">
                  <c:v>631.96465640000019</c:v>
                </c:pt>
                <c:pt idx="3">
                  <c:v>695.16112204000024</c:v>
                </c:pt>
                <c:pt idx="5">
                  <c:v>3973.3386</c:v>
                </c:pt>
                <c:pt idx="6">
                  <c:v>4370.6724600000007</c:v>
                </c:pt>
                <c:pt idx="7">
                  <c:v>4807.7397060000021</c:v>
                </c:pt>
                <c:pt idx="8">
                  <c:v>5288.5136766000032</c:v>
                </c:pt>
              </c:numCache>
            </c:numRef>
          </c:val>
          <c:extLst>
            <c:ext xmlns:c16="http://schemas.microsoft.com/office/drawing/2014/chart" uri="{C3380CC4-5D6E-409C-BE32-E72D297353CC}">
              <c16:uniqueId val="{00000000-5345-401E-8733-B84D2117087E}"/>
            </c:ext>
          </c:extLst>
        </c:ser>
        <c:dLbls>
          <c:showLegendKey val="0"/>
          <c:showVal val="0"/>
          <c:showCatName val="0"/>
          <c:showSerName val="0"/>
          <c:showPercent val="0"/>
          <c:showBubbleSize val="0"/>
        </c:dLbls>
        <c:gapWidth val="219"/>
        <c:overlap val="-27"/>
        <c:axId val="696776991"/>
        <c:axId val="696778431"/>
      </c:barChart>
      <c:catAx>
        <c:axId val="69677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78431"/>
        <c:crosses val="autoZero"/>
        <c:auto val="1"/>
        <c:lblAlgn val="ctr"/>
        <c:lblOffset val="100"/>
        <c:noMultiLvlLbl val="0"/>
      </c:catAx>
      <c:valAx>
        <c:axId val="69677843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7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48381452318462"/>
          <c:y val="0.18097222222222226"/>
          <c:w val="0.88396062992125979"/>
          <c:h val="0.72125801983085447"/>
        </c:manualLayout>
      </c:layout>
      <c:barChart>
        <c:barDir val="col"/>
        <c:grouping val="clustered"/>
        <c:varyColors val="0"/>
        <c:ser>
          <c:idx val="0"/>
          <c:order val="0"/>
          <c:tx>
            <c:strRef>
              <c:f>'Projected Profit growth'!$C$1</c:f>
              <c:strCache>
                <c:ptCount val="1"/>
                <c:pt idx="0">
                  <c:v>Profit Growth</c:v>
                </c:pt>
              </c:strCache>
            </c:strRef>
          </c:tx>
          <c:spPr>
            <a:solidFill>
              <a:schemeClr val="accent1"/>
            </a:solidFill>
            <a:ln>
              <a:noFill/>
            </a:ln>
            <a:effectLst/>
          </c:spPr>
          <c:invertIfNegative val="0"/>
          <c:cat>
            <c:numRef>
              <c:f>'Projected Profit growth'!$A$2:$A$10</c:f>
              <c:numCache>
                <c:formatCode>General</c:formatCode>
                <c:ptCount val="9"/>
                <c:pt idx="0">
                  <c:v>2011</c:v>
                </c:pt>
                <c:pt idx="1">
                  <c:v>2012</c:v>
                </c:pt>
                <c:pt idx="2">
                  <c:v>2013</c:v>
                </c:pt>
                <c:pt idx="3">
                  <c:v>2014</c:v>
                </c:pt>
                <c:pt idx="5">
                  <c:v>2026</c:v>
                </c:pt>
                <c:pt idx="6">
                  <c:v>2027</c:v>
                </c:pt>
                <c:pt idx="7">
                  <c:v>2028</c:v>
                </c:pt>
                <c:pt idx="8">
                  <c:v>2029</c:v>
                </c:pt>
              </c:numCache>
            </c:numRef>
          </c:cat>
          <c:val>
            <c:numRef>
              <c:f>'Projected Profit growth'!$C$2:$C$10</c:f>
              <c:numCache>
                <c:formatCode>0%</c:formatCode>
                <c:ptCount val="9"/>
                <c:pt idx="0">
                  <c:v>9.999999999999995E-2</c:v>
                </c:pt>
                <c:pt idx="1">
                  <c:v>0.10000000000000031</c:v>
                </c:pt>
                <c:pt idx="2">
                  <c:v>0.10000000000000003</c:v>
                </c:pt>
                <c:pt idx="5">
                  <c:v>0.10000000000000016</c:v>
                </c:pt>
                <c:pt idx="6">
                  <c:v>0.10000000000000031</c:v>
                </c:pt>
                <c:pt idx="7">
                  <c:v>0.10000000000000019</c:v>
                </c:pt>
              </c:numCache>
            </c:numRef>
          </c:val>
          <c:extLst>
            <c:ext xmlns:c16="http://schemas.microsoft.com/office/drawing/2014/chart" uri="{C3380CC4-5D6E-409C-BE32-E72D297353CC}">
              <c16:uniqueId val="{00000000-92AE-4032-BF87-B8467D489E5D}"/>
            </c:ext>
          </c:extLst>
        </c:ser>
        <c:dLbls>
          <c:showLegendKey val="0"/>
          <c:showVal val="0"/>
          <c:showCatName val="0"/>
          <c:showSerName val="0"/>
          <c:showPercent val="0"/>
          <c:showBubbleSize val="0"/>
        </c:dLbls>
        <c:gapWidth val="219"/>
        <c:overlap val="-27"/>
        <c:axId val="1551616991"/>
        <c:axId val="1551619391"/>
      </c:barChart>
      <c:catAx>
        <c:axId val="155161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19391"/>
        <c:crosses val="autoZero"/>
        <c:auto val="1"/>
        <c:lblAlgn val="ctr"/>
        <c:lblOffset val="100"/>
        <c:noMultiLvlLbl val="0"/>
      </c:catAx>
      <c:valAx>
        <c:axId val="1551619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1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INVOICE_NO per Customer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Frequency'!$B$3</c:f>
              <c:strCache>
                <c:ptCount val="1"/>
                <c:pt idx="0">
                  <c:v>Count of INVOICE_NO</c:v>
                </c:pt>
              </c:strCache>
            </c:strRef>
          </c:tx>
          <c:spPr>
            <a:solidFill>
              <a:schemeClr val="accent1"/>
            </a:solidFill>
            <a:ln>
              <a:noFill/>
            </a:ln>
            <a:effectLst/>
            <a:sp3d/>
          </c:spPr>
          <c:invertIfNegative val="0"/>
          <c:cat>
            <c:strRef>
              <c:f>'Customer Frequency'!$A$4:$A$14</c:f>
              <c:strCache>
                <c:ptCount val="10"/>
                <c:pt idx="0">
                  <c:v>17850</c:v>
                </c:pt>
                <c:pt idx="1">
                  <c:v>12583</c:v>
                </c:pt>
                <c:pt idx="2">
                  <c:v>13047</c:v>
                </c:pt>
                <c:pt idx="3">
                  <c:v>15311</c:v>
                </c:pt>
                <c:pt idx="4">
                  <c:v>15291</c:v>
                </c:pt>
                <c:pt idx="5">
                  <c:v>14688</c:v>
                </c:pt>
                <c:pt idx="6">
                  <c:v>17809</c:v>
                </c:pt>
                <c:pt idx="7">
                  <c:v>13748</c:v>
                </c:pt>
                <c:pt idx="8">
                  <c:v>15100</c:v>
                </c:pt>
                <c:pt idx="9">
                  <c:v>Grand Total</c:v>
                </c:pt>
              </c:strCache>
            </c:strRef>
          </c:cat>
          <c:val>
            <c:numRef>
              <c:f>'Customer Frequency'!$B$4:$B$14</c:f>
              <c:numCache>
                <c:formatCode>General</c:formatCode>
                <c:ptCount val="11"/>
                <c:pt idx="0">
                  <c:v>41</c:v>
                </c:pt>
                <c:pt idx="1">
                  <c:v>20</c:v>
                </c:pt>
                <c:pt idx="2">
                  <c:v>17</c:v>
                </c:pt>
                <c:pt idx="3">
                  <c:v>17</c:v>
                </c:pt>
                <c:pt idx="4">
                  <c:v>2</c:v>
                </c:pt>
                <c:pt idx="5">
                  <c:v>2</c:v>
                </c:pt>
                <c:pt idx="6">
                  <c:v>1</c:v>
                </c:pt>
                <c:pt idx="7">
                  <c:v>1</c:v>
                </c:pt>
                <c:pt idx="8">
                  <c:v>1</c:v>
                </c:pt>
                <c:pt idx="9">
                  <c:v>102</c:v>
                </c:pt>
              </c:numCache>
            </c:numRef>
          </c:val>
          <c:extLst>
            <c:ext xmlns:c16="http://schemas.microsoft.com/office/drawing/2014/chart" uri="{C3380CC4-5D6E-409C-BE32-E72D297353CC}">
              <c16:uniqueId val="{00000001-9D18-47C0-B976-8C6101D83BC7}"/>
            </c:ext>
          </c:extLst>
        </c:ser>
        <c:dLbls>
          <c:showLegendKey val="0"/>
          <c:showVal val="0"/>
          <c:showCatName val="0"/>
          <c:showSerName val="0"/>
          <c:showPercent val="0"/>
          <c:showBubbleSize val="0"/>
        </c:dLbls>
        <c:gapWidth val="150"/>
        <c:shape val="box"/>
        <c:axId val="696989919"/>
        <c:axId val="696984159"/>
        <c:axId val="0"/>
      </c:bar3DChart>
      <c:catAx>
        <c:axId val="696989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984159"/>
        <c:crosses val="autoZero"/>
        <c:auto val="1"/>
        <c:lblAlgn val="ctr"/>
        <c:lblOffset val="100"/>
        <c:noMultiLvlLbl val="0"/>
      </c:catAx>
      <c:valAx>
        <c:axId val="69698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98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2838450</xdr:colOff>
      <xdr:row>0</xdr:row>
      <xdr:rowOff>2076489</xdr:rowOff>
    </xdr:to>
    <xdr:pic>
      <xdr:nvPicPr>
        <xdr:cNvPr id="3" name="Picture 2">
          <a:extLst>
            <a:ext uri="{FF2B5EF4-FFF2-40B4-BE49-F238E27FC236}">
              <a16:creationId xmlns:a16="http://schemas.microsoft.com/office/drawing/2014/main" id="{51A8F6F0-8542-C170-614E-4A2B46DE0BE4}"/>
            </a:ext>
          </a:extLst>
        </xdr:cNvPr>
        <xdr:cNvPicPr>
          <a:picLocks noChangeAspect="1"/>
        </xdr:cNvPicPr>
      </xdr:nvPicPr>
      <xdr:blipFill>
        <a:blip xmlns:r="http://schemas.openxmlformats.org/officeDocument/2006/relationships" r:embed="rId1"/>
        <a:stretch>
          <a:fillRect/>
        </a:stretch>
      </xdr:blipFill>
      <xdr:spPr>
        <a:xfrm>
          <a:off x="2409825" y="0"/>
          <a:ext cx="2838450" cy="2076489"/>
        </a:xfrm>
        <a:prstGeom prst="rect">
          <a:avLst/>
        </a:prstGeom>
      </xdr:spPr>
    </xdr:pic>
    <xdr:clientData/>
  </xdr:twoCellAnchor>
  <xdr:twoCellAnchor editAs="oneCell">
    <xdr:from>
      <xdr:col>1</xdr:col>
      <xdr:colOff>19049</xdr:colOff>
      <xdr:row>1</xdr:row>
      <xdr:rowOff>9526</xdr:rowOff>
    </xdr:from>
    <xdr:to>
      <xdr:col>1</xdr:col>
      <xdr:colOff>2907964</xdr:colOff>
      <xdr:row>2</xdr:row>
      <xdr:rowOff>0</xdr:rowOff>
    </xdr:to>
    <xdr:pic>
      <xdr:nvPicPr>
        <xdr:cNvPr id="4" name="Picture 3">
          <a:extLst>
            <a:ext uri="{FF2B5EF4-FFF2-40B4-BE49-F238E27FC236}">
              <a16:creationId xmlns:a16="http://schemas.microsoft.com/office/drawing/2014/main" id="{8BFDFEFA-7D34-80E0-986D-1FC3E9556EA4}"/>
            </a:ext>
          </a:extLst>
        </xdr:cNvPr>
        <xdr:cNvPicPr>
          <a:picLocks noChangeAspect="1"/>
        </xdr:cNvPicPr>
      </xdr:nvPicPr>
      <xdr:blipFill>
        <a:blip xmlns:r="http://schemas.openxmlformats.org/officeDocument/2006/relationships" r:embed="rId2"/>
        <a:stretch>
          <a:fillRect/>
        </a:stretch>
      </xdr:blipFill>
      <xdr:spPr>
        <a:xfrm>
          <a:off x="2428874" y="2295526"/>
          <a:ext cx="2888915" cy="1704974"/>
        </a:xfrm>
        <a:prstGeom prst="rect">
          <a:avLst/>
        </a:prstGeom>
      </xdr:spPr>
    </xdr:pic>
    <xdr:clientData/>
  </xdr:twoCellAnchor>
  <xdr:twoCellAnchor editAs="oneCell">
    <xdr:from>
      <xdr:col>1</xdr:col>
      <xdr:colOff>28576</xdr:colOff>
      <xdr:row>2</xdr:row>
      <xdr:rowOff>38101</xdr:rowOff>
    </xdr:from>
    <xdr:to>
      <xdr:col>1</xdr:col>
      <xdr:colOff>2886075</xdr:colOff>
      <xdr:row>2</xdr:row>
      <xdr:rowOff>1666874</xdr:rowOff>
    </xdr:to>
    <xdr:pic>
      <xdr:nvPicPr>
        <xdr:cNvPr id="5" name="Picture 4">
          <a:extLst>
            <a:ext uri="{FF2B5EF4-FFF2-40B4-BE49-F238E27FC236}">
              <a16:creationId xmlns:a16="http://schemas.microsoft.com/office/drawing/2014/main" id="{CD68FBB5-A558-0919-AB51-0E16AB9785FE}"/>
            </a:ext>
          </a:extLst>
        </xdr:cNvPr>
        <xdr:cNvPicPr>
          <a:picLocks noChangeAspect="1"/>
        </xdr:cNvPicPr>
      </xdr:nvPicPr>
      <xdr:blipFill>
        <a:blip xmlns:r="http://schemas.openxmlformats.org/officeDocument/2006/relationships" r:embed="rId3"/>
        <a:stretch>
          <a:fillRect/>
        </a:stretch>
      </xdr:blipFill>
      <xdr:spPr>
        <a:xfrm>
          <a:off x="2847976" y="4038601"/>
          <a:ext cx="2857499" cy="16287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23060</xdr:colOff>
      <xdr:row>0</xdr:row>
      <xdr:rowOff>0</xdr:rowOff>
    </xdr:from>
    <xdr:to>
      <xdr:col>17</xdr:col>
      <xdr:colOff>28575</xdr:colOff>
      <xdr:row>20</xdr:row>
      <xdr:rowOff>76200</xdr:rowOff>
    </xdr:to>
    <xdr:graphicFrame macro="">
      <xdr:nvGraphicFramePr>
        <xdr:cNvPr id="4" name="Chart 3">
          <a:extLst>
            <a:ext uri="{FF2B5EF4-FFF2-40B4-BE49-F238E27FC236}">
              <a16:creationId xmlns:a16="http://schemas.microsoft.com/office/drawing/2014/main" id="{9AC55C41-8BAC-D2FD-EB07-9F11F688B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19049</xdr:colOff>
      <xdr:row>0</xdr:row>
      <xdr:rowOff>0</xdr:rowOff>
    </xdr:from>
    <xdr:to>
      <xdr:col>14</xdr:col>
      <xdr:colOff>409574</xdr:colOff>
      <xdr:row>21</xdr:row>
      <xdr:rowOff>42863</xdr:rowOff>
    </xdr:to>
    <xdr:graphicFrame macro="">
      <xdr:nvGraphicFramePr>
        <xdr:cNvPr id="5" name="Chart 4">
          <a:extLst>
            <a:ext uri="{FF2B5EF4-FFF2-40B4-BE49-F238E27FC236}">
              <a16:creationId xmlns:a16="http://schemas.microsoft.com/office/drawing/2014/main" id="{CED384C6-9FFA-4E18-B892-176ECD083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0</xdr:row>
      <xdr:rowOff>9524</xdr:rowOff>
    </xdr:from>
    <xdr:to>
      <xdr:col>9</xdr:col>
      <xdr:colOff>476250</xdr:colOff>
      <xdr:row>21</xdr:row>
      <xdr:rowOff>66674</xdr:rowOff>
    </xdr:to>
    <xdr:graphicFrame macro="">
      <xdr:nvGraphicFramePr>
        <xdr:cNvPr id="4" name="Chart 3">
          <a:extLst>
            <a:ext uri="{FF2B5EF4-FFF2-40B4-BE49-F238E27FC236}">
              <a16:creationId xmlns:a16="http://schemas.microsoft.com/office/drawing/2014/main" id="{B452F539-D944-EFC6-D9B6-33A72A21F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0</xdr:row>
      <xdr:rowOff>0</xdr:rowOff>
    </xdr:from>
    <xdr:to>
      <xdr:col>17</xdr:col>
      <xdr:colOff>190500</xdr:colOff>
      <xdr:row>21</xdr:row>
      <xdr:rowOff>85725</xdr:rowOff>
    </xdr:to>
    <xdr:graphicFrame macro="">
      <xdr:nvGraphicFramePr>
        <xdr:cNvPr id="6" name="Chart 5">
          <a:extLst>
            <a:ext uri="{FF2B5EF4-FFF2-40B4-BE49-F238E27FC236}">
              <a16:creationId xmlns:a16="http://schemas.microsoft.com/office/drawing/2014/main" id="{15DA3261-D526-CEBB-F5CA-E29E9B83F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0</xdr:row>
      <xdr:rowOff>14287</xdr:rowOff>
    </xdr:from>
    <xdr:to>
      <xdr:col>10</xdr:col>
      <xdr:colOff>142875</xdr:colOff>
      <xdr:row>14</xdr:row>
      <xdr:rowOff>90487</xdr:rowOff>
    </xdr:to>
    <xdr:graphicFrame macro="">
      <xdr:nvGraphicFramePr>
        <xdr:cNvPr id="2" name="Chart 1">
          <a:extLst>
            <a:ext uri="{FF2B5EF4-FFF2-40B4-BE49-F238E27FC236}">
              <a16:creationId xmlns:a16="http://schemas.microsoft.com/office/drawing/2014/main" id="{9B6F75E7-08D1-A5AA-6138-751B481DE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209550</xdr:colOff>
      <xdr:row>0</xdr:row>
      <xdr:rowOff>38100</xdr:rowOff>
    </xdr:from>
    <xdr:to>
      <xdr:col>13</xdr:col>
      <xdr:colOff>209550</xdr:colOff>
      <xdr:row>14</xdr:row>
      <xdr:rowOff>38100</xdr:rowOff>
    </xdr:to>
    <mc:AlternateContent xmlns:mc="http://schemas.openxmlformats.org/markup-compatibility/2006" xmlns:a14="http://schemas.microsoft.com/office/drawing/2010/main">
      <mc:Choice Requires="a14">
        <xdr:graphicFrame macro="">
          <xdr:nvGraphicFramePr>
            <xdr:cNvPr id="3" name="INVOICE_DATE">
              <a:extLst>
                <a:ext uri="{FF2B5EF4-FFF2-40B4-BE49-F238E27FC236}">
                  <a16:creationId xmlns:a16="http://schemas.microsoft.com/office/drawing/2014/main" id="{2D574D71-697F-2238-1CB5-5CC2707DD6B1}"/>
                </a:ext>
              </a:extLst>
            </xdr:cNvPr>
            <xdr:cNvGraphicFramePr/>
          </xdr:nvGraphicFramePr>
          <xdr:xfrm>
            <a:off x="0" y="0"/>
            <a:ext cx="0" cy="0"/>
          </xdr:xfrm>
          <a:graphic>
            <a:graphicData uri="http://schemas.microsoft.com/office/drawing/2010/slicer">
              <sle:slicer xmlns:sle="http://schemas.microsoft.com/office/drawing/2010/slicer" name="INVOICE_DATE"/>
            </a:graphicData>
          </a:graphic>
        </xdr:graphicFrame>
      </mc:Choice>
      <mc:Fallback xmlns="">
        <xdr:sp macro="" textlink="">
          <xdr:nvSpPr>
            <xdr:cNvPr id="0" name=""/>
            <xdr:cNvSpPr>
              <a:spLocks noTextEdit="1"/>
            </xdr:cNvSpPr>
          </xdr:nvSpPr>
          <xdr:spPr>
            <a:xfrm>
              <a:off x="7381875"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7.626449421296" createdVersion="8" refreshedVersion="8" minRefreshableVersion="3" recordCount="115" xr:uid="{705E54C9-0C74-4B1E-9514-1A90A2627994}">
  <cacheSource type="worksheet">
    <worksheetSource ref="A1:K116" sheet="MAIN DATASET"/>
  </cacheSource>
  <cacheFields count="14">
    <cacheField name="TRANSACTION_ID" numFmtId="0">
      <sharedItems containsSemiMixedTypes="0" containsString="0" containsNumber="1" containsInteger="1" minValue="1" maxValue="118"/>
    </cacheField>
    <cacheField name="INVOICE_NO" numFmtId="0">
      <sharedItems containsSemiMixedTypes="0" containsString="0" containsNumber="1" containsInteger="1" minValue="536365" maxValue="536386"/>
    </cacheField>
    <cacheField name="STOCK CODE" numFmtId="0">
      <sharedItems containsMixedTypes="1" containsNumber="1" containsInteger="1" minValue="10002" maxValue="84969"/>
    </cacheField>
    <cacheField name="DESCRIPTION/CATEGORY" numFmtId="0">
      <sharedItems count="78">
        <s v="WHITE HANGING HEART T-LIGHT HOLDER"/>
        <s v="WHITE METAL LANTERN"/>
        <s v="CREAM CUPID HEARTS COAT HANGER"/>
        <s v="KNITTED UNION FLAG HOT WATER BOTTLE"/>
        <s v="RED WOOLLY HOTTIE WHITE HEART."/>
        <s v="SET 7 BABUSHKA NESTING BOXES"/>
        <s v="GLASS STAR FROSTED T-LIGHT HOLDER"/>
        <s v="HAND WARMER UNION JACK"/>
        <s v="HAND WARMER RED POLKA DOT"/>
        <s v="JAM MAKING SET WITH JARS"/>
        <s v="RED COAT RACK PARIS FASHION"/>
        <s v="YELLOW COAT RACK PARIS FASHION"/>
        <s v="BLUE COAT RACK PARIS FASHION"/>
        <s v="ASSORTED COLOUR BIRD ORNAMENT"/>
        <s v="POPPY'S PLAYHOUSE BEDROOM"/>
        <s v="POPPY'S PLAYHOUSE KITCHEN"/>
        <s v="FELTCRAFT PRINCESS CHARLOTTE DOLL"/>
        <s v="IVORY KNITTED MUG COSY"/>
        <s v="BOX OF 6 ASSORTED COLOUR TEASPOONS"/>
        <s v="BOX OF VINTAGE JIGSAW BLOCKS"/>
        <s v="BOX OF VINTAGE ALPHABET BLOCKS"/>
        <s v="HOME BUILDING BLOCK WORD"/>
        <s v="LOVE BUILDING BLOCK WORD"/>
        <s v="RECIPE BOX WITH METAL HEART"/>
        <s v="DOORMAT NEW ENGLAND"/>
        <s v="BATH BUILDING BLOCK WORD"/>
        <s v="ALARM CLOCK BAKELIKE PINK"/>
        <s v="ALARM CLOCK BAKELIKE RED"/>
        <s v="ALARM CLOCK BAKELIKE GREEN"/>
        <s v="PANDA AND BUNNIES STICKER SHEET"/>
        <s v="STARS GIFT TAPE"/>
        <s v="INFLATABLE POLITICAL GLOBE"/>
        <s v="VINTAGE HEADS AND TAILS CARD GAME"/>
        <s v="SET/2 RED RETROSPOT TEA TOWELS"/>
        <s v="ROUND SNACK BOXES SET OF4 WOODLAND"/>
        <s v="SPACEBOY LUNCH BOX"/>
        <s v="LUNCH BOX I LOVE LONDON"/>
        <s v="CIRCUS PARADE LUNCH BOX"/>
        <s v="CHARLOTTE BAG DOLLY GIRL DESIGN"/>
        <s v="RED TOADSTOOL LED NIGHT LIGHT"/>
        <s v="SET 2 TEA TOWELS I LOVE LONDON"/>
        <s v="VINTAGE SEASIDE JIGSAW PUZZLES"/>
        <s v="MINI JIGSAW CIRCUS PARADE"/>
        <s v="MINI JIGSAW SPACEBOY"/>
        <s v="MINI PAINT SET VINTAGE"/>
        <s v="POSTAGE"/>
        <s v="PAPER CHAIN KIT 50'S CHRISTMAS"/>
        <s v="EDWARDIAN PARASOL RED"/>
        <s v="RETRO COFFEE MUGS ASSORTED"/>
        <s v="SAVE THE PLANET MUG"/>
        <s v="VINTAGE BILLBOARD DRINK ME MUG"/>
        <s v="VINTAGE BILLBOARD LOVE/HATE MUG"/>
        <s v="WOOD 2 DRAWER CABINET WHITE FINISH"/>
        <s v="WOOD S/3 CABINET ANT WHITE FINISH"/>
        <s v="WOODEN PICTURE FRAME WHITE FINISH"/>
        <s v="WOODEN FRAME ANTIQUE WHITE"/>
        <s v="VICTORIAN SEWING BOX LARGE"/>
        <s v="HOT WATER BOTTLE TEA AND SYMPATHY"/>
        <s v="RED HANGING HEART T-LIGHT HOLDER"/>
        <s v="JUMBO STORAGE BAG SUKI"/>
        <s v="JUMBO BAG PINK VINTAGE PAISLEY"/>
        <s v="JAM MAKING SET PRINTED"/>
        <s v="RETROSPOT TEA SET CERAMIC 11 PC"/>
        <s v="GIRLY PINK TOOL SET"/>
        <s v="JUMBO SHOPPER VINTAGE RED PAISLEY"/>
        <s v="AIRLINE LOUNGE,METAL SIGN"/>
        <s v="WHITE SPOT RED CERAMIC DRAWER KNOB"/>
        <s v="RED DRAWER KNOB ACRYLIC EDWARDIAN"/>
        <s v="CLEAR DRAWER KNOB ACRYLIC EDWARDIAN"/>
        <s v="PHOTO CLIP LINE"/>
        <s v="FELT EGG COSY CHICKEN"/>
        <s v="PIGGY BANK RETROSPOT"/>
        <s v="YOU'RE CONFUSING ME METAL SIGN"/>
        <s v="COOK WITH WINE METAL SIGN"/>
        <s v="GIN + TONIC DIET METAL SIGN"/>
        <s v="YELLOW BREAKFAST CUP AND SAUCER"/>
        <s v="PINK BREAKFAST CUP AND SAUCER"/>
        <s v="PAPER CHAIN KIT RETROSPOT"/>
      </sharedItems>
    </cacheField>
    <cacheField name="QUANTITY" numFmtId="0">
      <sharedItems containsSemiMixedTypes="0" containsString="0" containsNumber="1" containsInteger="1" minValue="1" maxValue="10000"/>
    </cacheField>
    <cacheField name="INVOICE_DATE" numFmtId="14">
      <sharedItems containsSemiMixedTypes="0" containsNonDate="0" containsDate="1" containsString="0" minDate="2010-12-01T00:00:00" maxDate="2025-09-28T00:00:00" count="5">
        <d v="2025-09-27T00:00:00"/>
        <d v="2025-09-25T00:00:00"/>
        <d v="2010-12-01T00:00:00"/>
        <d v="2025-09-24T00:00:00"/>
        <d v="2025-09-22T00:00:00"/>
      </sharedItems>
      <fieldGroup par="13"/>
    </cacheField>
    <cacheField name="UNIT_PRICE" numFmtId="166">
      <sharedItems containsSemiMixedTypes="0" containsString="0" containsNumber="1" minValue="0.42" maxValue="18"/>
    </cacheField>
    <cacheField name="CUSTOMER_ID" numFmtId="0">
      <sharedItems containsSemiMixedTypes="0" containsString="0" containsNumber="1" containsInteger="1" minValue="12583" maxValue="17854" count="11">
        <n v="17850"/>
        <n v="13047"/>
        <n v="12583"/>
        <n v="13748"/>
        <n v="15100"/>
        <n v="15291"/>
        <n v="14688"/>
        <n v="17809"/>
        <n v="15311"/>
        <n v="17851"/>
        <n v="17854"/>
      </sharedItems>
    </cacheField>
    <cacheField name="COUNTRY" numFmtId="0">
      <sharedItems containsMixedTypes="1" containsNumber="1" containsInteger="1" minValue="1221" maxValue="1221"/>
    </cacheField>
    <cacheField name="TIMESTAMP" numFmtId="47">
      <sharedItems containsSemiMixedTypes="0" containsNonDate="0" containsDate="1" containsString="0" minDate="2025-09-20T12:25:24" maxDate="2025-09-27T11:21:35"/>
    </cacheField>
    <cacheField name="TOTAL" numFmtId="0">
      <sharedItems containsSemiMixedTypes="0" containsString="0" containsNumber="1" minValue="0.85" maxValue="25500"/>
    </cacheField>
    <cacheField name="Months (INVOICE_DATE)" numFmtId="0" databaseField="0">
      <fieldGroup base="5">
        <rangePr groupBy="months" startDate="2010-12-01T00:00:00" endDate="2025-09-28T00:00:00"/>
        <groupItems count="14">
          <s v="&lt;12/1/2010"/>
          <s v="Jan"/>
          <s v="Feb"/>
          <s v="Mar"/>
          <s v="Apr"/>
          <s v="May"/>
          <s v="Jun"/>
          <s v="Jul"/>
          <s v="Aug"/>
          <s v="Sep"/>
          <s v="Oct"/>
          <s v="Nov"/>
          <s v="Dec"/>
          <s v="&gt;9/28/2025"/>
        </groupItems>
      </fieldGroup>
    </cacheField>
    <cacheField name="Quarters (INVOICE_DATE)" numFmtId="0" databaseField="0">
      <fieldGroup base="5">
        <rangePr groupBy="quarters" startDate="2010-12-01T00:00:00" endDate="2025-09-28T00:00:00"/>
        <groupItems count="6">
          <s v="&lt;12/1/2010"/>
          <s v="Qtr1"/>
          <s v="Qtr2"/>
          <s v="Qtr3"/>
          <s v="Qtr4"/>
          <s v="&gt;9/28/2025"/>
        </groupItems>
      </fieldGroup>
    </cacheField>
    <cacheField name="Years (INVOICE_DATE)" numFmtId="0" databaseField="0">
      <fieldGroup base="5">
        <rangePr groupBy="years" startDate="2010-12-01T00:00:00" endDate="2025-09-28T00:00:00"/>
        <groupItems count="18">
          <s v="&lt;12/1/2010"/>
          <s v="2010"/>
          <s v="2011"/>
          <s v="2012"/>
          <s v="2013"/>
          <s v="2014"/>
          <s v="2015"/>
          <s v="2016"/>
          <s v="2017"/>
          <s v="2018"/>
          <s v="2019"/>
          <s v="2020"/>
          <s v="2021"/>
          <s v="2022"/>
          <s v="2023"/>
          <s v="2024"/>
          <s v="2025"/>
          <s v="&gt;9/28/2025"/>
        </groupItems>
      </fieldGroup>
    </cacheField>
  </cacheFields>
  <extLst>
    <ext xmlns:x14="http://schemas.microsoft.com/office/spreadsheetml/2009/9/main" uri="{725AE2AE-9491-48be-B2B4-4EB974FC3084}">
      <x14:pivotCacheDefinition pivotCacheId="1248031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n v="1"/>
    <n v="536382"/>
    <s v="85123A"/>
    <x v="0"/>
    <n v="100"/>
    <x v="0"/>
    <n v="2.5499999999999998"/>
    <x v="0"/>
    <s v="United Kingdom"/>
    <d v="2025-09-20T12:25:24"/>
    <n v="255"/>
  </r>
  <r>
    <n v="2"/>
    <n v="536383"/>
    <n v="71053"/>
    <x v="1"/>
    <n v="6"/>
    <x v="1"/>
    <n v="3.39"/>
    <x v="0"/>
    <s v="United Kingdom"/>
    <d v="2025-09-20T12:25:24"/>
    <n v="20.34"/>
  </r>
  <r>
    <n v="3"/>
    <n v="536384"/>
    <s v="84406B"/>
    <x v="2"/>
    <n v="8"/>
    <x v="1"/>
    <n v="2.75"/>
    <x v="0"/>
    <s v="United Kingdom"/>
    <d v="2025-09-20T12:25:24"/>
    <n v="22"/>
  </r>
  <r>
    <n v="4"/>
    <n v="536365"/>
    <s v="84029G"/>
    <x v="3"/>
    <n v="6"/>
    <x v="2"/>
    <n v="3.39"/>
    <x v="0"/>
    <s v="United Kingdom"/>
    <d v="2025-09-20T12:25:24"/>
    <n v="20.34"/>
  </r>
  <r>
    <n v="5"/>
    <n v="536382"/>
    <s v="84029E"/>
    <x v="4"/>
    <n v="5"/>
    <x v="3"/>
    <n v="3.39"/>
    <x v="0"/>
    <s v="United Kingdom"/>
    <d v="2025-09-20T12:25:24"/>
    <n v="16.95"/>
  </r>
  <r>
    <n v="6"/>
    <n v="536365"/>
    <n v="22752"/>
    <x v="5"/>
    <n v="2"/>
    <x v="2"/>
    <n v="7.65"/>
    <x v="0"/>
    <s v="United Kingdom"/>
    <d v="2025-09-20T12:25:24"/>
    <n v="15.3"/>
  </r>
  <r>
    <n v="7"/>
    <n v="536365"/>
    <n v="21730"/>
    <x v="6"/>
    <n v="6"/>
    <x v="2"/>
    <n v="4.25"/>
    <x v="0"/>
    <s v="United Kingdom"/>
    <d v="2025-09-20T12:25:24"/>
    <n v="25.5"/>
  </r>
  <r>
    <n v="8"/>
    <n v="536366"/>
    <n v="22633"/>
    <x v="7"/>
    <n v="6"/>
    <x v="2"/>
    <n v="1.85"/>
    <x v="0"/>
    <s v="United Kingdom"/>
    <d v="2025-09-20T12:25:24"/>
    <n v="11.1"/>
  </r>
  <r>
    <n v="9"/>
    <n v="536366"/>
    <n v="22632"/>
    <x v="8"/>
    <n v="6"/>
    <x v="2"/>
    <n v="1.85"/>
    <x v="0"/>
    <s v="United Kingdom"/>
    <d v="2025-09-20T12:25:24"/>
    <n v="11.1"/>
  </r>
  <r>
    <n v="10"/>
    <n v="536368"/>
    <n v="22960"/>
    <x v="9"/>
    <n v="6"/>
    <x v="2"/>
    <n v="4.25"/>
    <x v="1"/>
    <s v="United Kingdom"/>
    <d v="2025-09-20T12:25:24"/>
    <n v="25.5"/>
  </r>
  <r>
    <n v="11"/>
    <n v="536368"/>
    <n v="22913"/>
    <x v="10"/>
    <n v="3"/>
    <x v="2"/>
    <n v="4.95"/>
    <x v="1"/>
    <s v="United Kingdom"/>
    <d v="2025-09-20T12:25:24"/>
    <n v="14.85"/>
  </r>
  <r>
    <n v="12"/>
    <n v="536368"/>
    <n v="22912"/>
    <x v="11"/>
    <n v="3"/>
    <x v="2"/>
    <n v="4.95"/>
    <x v="1"/>
    <s v="United Kingdom"/>
    <d v="2025-09-20T12:25:24"/>
    <n v="14.85"/>
  </r>
  <r>
    <n v="13"/>
    <n v="536368"/>
    <n v="22914"/>
    <x v="12"/>
    <n v="3"/>
    <x v="2"/>
    <n v="4.95"/>
    <x v="1"/>
    <s v="United Kingdom"/>
    <d v="2025-09-20T12:25:24"/>
    <n v="14.85"/>
  </r>
  <r>
    <n v="14"/>
    <n v="536367"/>
    <n v="84879"/>
    <x v="13"/>
    <n v="32"/>
    <x v="2"/>
    <n v="1.69"/>
    <x v="1"/>
    <s v="United Kingdom"/>
    <d v="2025-09-20T12:25:24"/>
    <n v="54.08"/>
  </r>
  <r>
    <n v="15"/>
    <n v="536367"/>
    <n v="22745"/>
    <x v="14"/>
    <n v="6"/>
    <x v="2"/>
    <n v="2.1"/>
    <x v="1"/>
    <s v="United Kingdom"/>
    <d v="2025-09-20T12:25:24"/>
    <n v="12.6"/>
  </r>
  <r>
    <n v="16"/>
    <n v="536367"/>
    <n v="22748"/>
    <x v="15"/>
    <n v="6"/>
    <x v="2"/>
    <n v="2.1"/>
    <x v="1"/>
    <s v="United Kingdom"/>
    <d v="2025-09-20T12:25:24"/>
    <n v="12.6"/>
  </r>
  <r>
    <n v="17"/>
    <n v="536367"/>
    <n v="22749"/>
    <x v="16"/>
    <n v="8"/>
    <x v="2"/>
    <n v="3.75"/>
    <x v="1"/>
    <s v="United Kingdom"/>
    <d v="2025-09-20T12:25:24"/>
    <n v="30"/>
  </r>
  <r>
    <n v="18"/>
    <n v="536367"/>
    <n v="22310"/>
    <x v="17"/>
    <n v="6"/>
    <x v="2"/>
    <n v="1.65"/>
    <x v="1"/>
    <s v="United Kingdom"/>
    <d v="2025-09-20T12:25:24"/>
    <n v="9.9"/>
  </r>
  <r>
    <n v="19"/>
    <n v="536367"/>
    <n v="84969"/>
    <x v="18"/>
    <n v="6"/>
    <x v="2"/>
    <n v="4.25"/>
    <x v="1"/>
    <s v="United Kingdom"/>
    <d v="2025-09-20T12:25:24"/>
    <n v="25.5"/>
  </r>
  <r>
    <n v="20"/>
    <n v="536367"/>
    <n v="22623"/>
    <x v="19"/>
    <n v="3"/>
    <x v="2"/>
    <n v="4.95"/>
    <x v="1"/>
    <s v="United Kingdom"/>
    <d v="2025-09-20T12:25:24"/>
    <n v="14.85"/>
  </r>
  <r>
    <n v="21"/>
    <n v="536367"/>
    <n v="22622"/>
    <x v="20"/>
    <n v="2"/>
    <x v="2"/>
    <n v="9.9499999999999993"/>
    <x v="1"/>
    <s v="United Kingdom"/>
    <d v="2025-09-20T12:25:24"/>
    <n v="19.899999999999999"/>
  </r>
  <r>
    <n v="22"/>
    <n v="536367"/>
    <n v="21754"/>
    <x v="21"/>
    <n v="3"/>
    <x v="2"/>
    <n v="5.95"/>
    <x v="1"/>
    <s v="United Kingdom"/>
    <d v="2025-09-20T12:25:24"/>
    <n v="17.850000000000001"/>
  </r>
  <r>
    <n v="23"/>
    <n v="536367"/>
    <n v="21755"/>
    <x v="22"/>
    <n v="3"/>
    <x v="2"/>
    <n v="5.95"/>
    <x v="1"/>
    <s v="United Kingdom"/>
    <d v="2025-09-20T12:25:24"/>
    <n v="17.850000000000001"/>
  </r>
  <r>
    <n v="24"/>
    <n v="536367"/>
    <n v="21777"/>
    <x v="23"/>
    <n v="4"/>
    <x v="2"/>
    <n v="7.95"/>
    <x v="1"/>
    <s v="United Kingdom"/>
    <d v="2025-09-20T12:25:24"/>
    <n v="31.8"/>
  </r>
  <r>
    <n v="25"/>
    <n v="536367"/>
    <n v="48187"/>
    <x v="24"/>
    <n v="4"/>
    <x v="2"/>
    <n v="7.95"/>
    <x v="1"/>
    <s v="United Kingdom"/>
    <d v="2025-09-20T12:25:24"/>
    <n v="31.8"/>
  </r>
  <r>
    <n v="26"/>
    <n v="536369"/>
    <n v="21756"/>
    <x v="25"/>
    <n v="3"/>
    <x v="2"/>
    <n v="5.95"/>
    <x v="1"/>
    <s v="United Kingdom"/>
    <d v="2025-09-20T12:25:24"/>
    <n v="17.850000000000001"/>
  </r>
  <r>
    <n v="27"/>
    <n v="536370"/>
    <n v="22728"/>
    <x v="26"/>
    <n v="24"/>
    <x v="2"/>
    <n v="3.75"/>
    <x v="2"/>
    <s v="France"/>
    <d v="2025-09-20T12:25:24"/>
    <n v="90"/>
  </r>
  <r>
    <n v="28"/>
    <n v="536370"/>
    <n v="22727"/>
    <x v="27"/>
    <n v="24"/>
    <x v="2"/>
    <n v="3.75"/>
    <x v="2"/>
    <s v="France"/>
    <d v="2025-09-20T12:25:24"/>
    <n v="90"/>
  </r>
  <r>
    <n v="29"/>
    <n v="536370"/>
    <n v="22726"/>
    <x v="28"/>
    <n v="12"/>
    <x v="2"/>
    <n v="3.75"/>
    <x v="2"/>
    <s v="France"/>
    <d v="2025-09-20T12:25:24"/>
    <n v="45"/>
  </r>
  <r>
    <n v="30"/>
    <n v="536370"/>
    <n v="21724"/>
    <x v="29"/>
    <n v="12"/>
    <x v="2"/>
    <n v="0.85"/>
    <x v="2"/>
    <s v="France"/>
    <d v="2025-09-20T12:25:24"/>
    <n v="10.199999999999999"/>
  </r>
  <r>
    <n v="31"/>
    <n v="536370"/>
    <n v="21883"/>
    <x v="30"/>
    <n v="24"/>
    <x v="2"/>
    <n v="0.65"/>
    <x v="2"/>
    <s v="France"/>
    <d v="2025-09-20T12:25:24"/>
    <n v="15.6"/>
  </r>
  <r>
    <n v="32"/>
    <n v="536370"/>
    <n v="10002"/>
    <x v="31"/>
    <n v="48"/>
    <x v="2"/>
    <n v="0.85"/>
    <x v="2"/>
    <s v="France"/>
    <d v="2025-09-20T12:25:24"/>
    <n v="40.799999999999997"/>
  </r>
  <r>
    <n v="33"/>
    <n v="536370"/>
    <n v="21791"/>
    <x v="32"/>
    <n v="24"/>
    <x v="2"/>
    <n v="1.25"/>
    <x v="2"/>
    <s v="France"/>
    <d v="2025-09-20T12:25:24"/>
    <n v="30"/>
  </r>
  <r>
    <n v="34"/>
    <n v="536370"/>
    <n v="21035"/>
    <x v="33"/>
    <n v="18"/>
    <x v="2"/>
    <n v="2.95"/>
    <x v="2"/>
    <s v="France"/>
    <d v="2025-09-20T12:25:24"/>
    <n v="53.1"/>
  </r>
  <r>
    <n v="35"/>
    <n v="536370"/>
    <n v="22326"/>
    <x v="34"/>
    <n v="24"/>
    <x v="2"/>
    <n v="2.95"/>
    <x v="2"/>
    <s v="France"/>
    <d v="2025-09-20T12:25:24"/>
    <n v="70.8"/>
  </r>
  <r>
    <n v="36"/>
    <n v="536370"/>
    <n v="22629"/>
    <x v="35"/>
    <n v="24"/>
    <x v="2"/>
    <n v="1.95"/>
    <x v="2"/>
    <s v="France"/>
    <d v="2025-09-20T12:25:24"/>
    <n v="46.8"/>
  </r>
  <r>
    <n v="37"/>
    <n v="536370"/>
    <n v="22659"/>
    <x v="36"/>
    <n v="24"/>
    <x v="2"/>
    <n v="1.95"/>
    <x v="2"/>
    <s v="France"/>
    <d v="2025-09-20T12:25:24"/>
    <n v="46.8"/>
  </r>
  <r>
    <n v="38"/>
    <n v="536370"/>
    <n v="22631"/>
    <x v="37"/>
    <n v="24"/>
    <x v="2"/>
    <n v="1.95"/>
    <x v="2"/>
    <s v="France"/>
    <d v="2025-09-20T12:25:24"/>
    <n v="46.8"/>
  </r>
  <r>
    <n v="39"/>
    <n v="536370"/>
    <n v="22661"/>
    <x v="38"/>
    <n v="20"/>
    <x v="2"/>
    <n v="0.85"/>
    <x v="2"/>
    <s v="France"/>
    <d v="2025-09-20T12:25:24"/>
    <n v="17"/>
  </r>
  <r>
    <n v="40"/>
    <n v="536370"/>
    <n v="21731"/>
    <x v="39"/>
    <n v="24"/>
    <x v="2"/>
    <n v="1.65"/>
    <x v="2"/>
    <s v="France"/>
    <d v="2025-09-20T12:25:24"/>
    <n v="39.6"/>
  </r>
  <r>
    <n v="41"/>
    <n v="536370"/>
    <n v="22900"/>
    <x v="40"/>
    <n v="24"/>
    <x v="2"/>
    <n v="2.95"/>
    <x v="2"/>
    <s v="France"/>
    <d v="2025-09-20T12:25:24"/>
    <n v="70.8"/>
  </r>
  <r>
    <n v="42"/>
    <n v="536370"/>
    <n v="21913"/>
    <x v="41"/>
    <n v="12"/>
    <x v="2"/>
    <n v="3.75"/>
    <x v="2"/>
    <s v="France"/>
    <d v="2025-09-20T12:25:24"/>
    <n v="45"/>
  </r>
  <r>
    <n v="43"/>
    <n v="536370"/>
    <n v="22540"/>
    <x v="42"/>
    <n v="24"/>
    <x v="2"/>
    <n v="0.42"/>
    <x v="2"/>
    <s v="France"/>
    <d v="2025-09-20T12:25:24"/>
    <n v="10.08"/>
  </r>
  <r>
    <n v="44"/>
    <n v="536370"/>
    <n v="22544"/>
    <x v="43"/>
    <n v="24"/>
    <x v="2"/>
    <n v="0.42"/>
    <x v="2"/>
    <s v="France"/>
    <d v="2025-09-20T12:25:24"/>
    <n v="10.08"/>
  </r>
  <r>
    <n v="45"/>
    <n v="536370"/>
    <n v="22492"/>
    <x v="44"/>
    <n v="36"/>
    <x v="2"/>
    <n v="0.65"/>
    <x v="2"/>
    <s v="France"/>
    <d v="2025-09-20T12:25:24"/>
    <n v="23.4"/>
  </r>
  <r>
    <n v="46"/>
    <n v="536370"/>
    <s v="POST"/>
    <x v="45"/>
    <n v="3"/>
    <x v="2"/>
    <n v="18"/>
    <x v="2"/>
    <s v="France"/>
    <d v="2025-09-20T12:25:24"/>
    <n v="54"/>
  </r>
  <r>
    <n v="47"/>
    <n v="536371"/>
    <n v="22086"/>
    <x v="46"/>
    <n v="80"/>
    <x v="2"/>
    <n v="2.5499999999999998"/>
    <x v="3"/>
    <s v="United Kingdom"/>
    <d v="2025-09-20T12:25:24"/>
    <n v="204"/>
  </r>
  <r>
    <n v="48"/>
    <n v="536372"/>
    <n v="22632"/>
    <x v="8"/>
    <n v="6"/>
    <x v="2"/>
    <n v="1.85"/>
    <x v="0"/>
    <s v="United Kingdom"/>
    <d v="2025-09-20T12:25:24"/>
    <n v="11.1"/>
  </r>
  <r>
    <n v="49"/>
    <n v="536372"/>
    <n v="22633"/>
    <x v="7"/>
    <n v="6"/>
    <x v="2"/>
    <n v="1.85"/>
    <x v="0"/>
    <s v="United Kingdom"/>
    <d v="2025-09-20T12:25:24"/>
    <n v="11.1"/>
  </r>
  <r>
    <n v="50"/>
    <n v="536373"/>
    <s v="85123A"/>
    <x v="0"/>
    <n v="6"/>
    <x v="2"/>
    <n v="2.5499999999999998"/>
    <x v="0"/>
    <s v="United Kingdom"/>
    <d v="2025-09-20T12:25:24"/>
    <n v="15.3"/>
  </r>
  <r>
    <n v="51"/>
    <n v="536373"/>
    <n v="71053"/>
    <x v="1"/>
    <n v="6"/>
    <x v="2"/>
    <n v="3.39"/>
    <x v="0"/>
    <s v="United Kingdom"/>
    <d v="2025-09-20T12:25:24"/>
    <n v="20.34"/>
  </r>
  <r>
    <n v="52"/>
    <n v="536373"/>
    <s v="84406B"/>
    <x v="2"/>
    <n v="8"/>
    <x v="2"/>
    <n v="2.75"/>
    <x v="0"/>
    <s v="United Kingdom"/>
    <d v="2025-09-20T12:25:24"/>
    <n v="22"/>
  </r>
  <r>
    <n v="53"/>
    <n v="536373"/>
    <n v="20679"/>
    <x v="47"/>
    <n v="6"/>
    <x v="2"/>
    <n v="4.95"/>
    <x v="0"/>
    <s v="United Kingdom"/>
    <d v="2025-09-20T12:25:24"/>
    <n v="29.7"/>
  </r>
  <r>
    <n v="54"/>
    <n v="536373"/>
    <n v="37370"/>
    <x v="48"/>
    <n v="6"/>
    <x v="2"/>
    <n v="1.06"/>
    <x v="0"/>
    <s v="United Kingdom"/>
    <d v="2025-09-20T12:25:24"/>
    <n v="6.36"/>
  </r>
  <r>
    <n v="55"/>
    <n v="536373"/>
    <n v="21871"/>
    <x v="49"/>
    <n v="6"/>
    <x v="2"/>
    <n v="1.06"/>
    <x v="0"/>
    <s v="United Kingdom"/>
    <d v="2025-09-20T12:25:24"/>
    <n v="6.36"/>
  </r>
  <r>
    <n v="56"/>
    <n v="536373"/>
    <n v="21071"/>
    <x v="50"/>
    <n v="6"/>
    <x v="2"/>
    <n v="1.06"/>
    <x v="0"/>
    <s v="United Kingdom"/>
    <d v="2025-09-20T12:25:24"/>
    <n v="6.36"/>
  </r>
  <r>
    <n v="57"/>
    <n v="536373"/>
    <n v="21068"/>
    <x v="51"/>
    <n v="6"/>
    <x v="2"/>
    <n v="1.06"/>
    <x v="0"/>
    <s v="United Kingdom"/>
    <d v="2025-09-20T12:25:24"/>
    <n v="6.36"/>
  </r>
  <r>
    <n v="58"/>
    <n v="536373"/>
    <n v="82483"/>
    <x v="52"/>
    <n v="2"/>
    <x v="2"/>
    <n v="4.95"/>
    <x v="0"/>
    <s v="United Kingdom"/>
    <d v="2025-09-20T12:25:24"/>
    <n v="9.9"/>
  </r>
  <r>
    <n v="59"/>
    <n v="536373"/>
    <n v="82486"/>
    <x v="53"/>
    <n v="4"/>
    <x v="2"/>
    <n v="6.95"/>
    <x v="0"/>
    <s v="United Kingdom"/>
    <d v="2025-09-20T12:25:24"/>
    <n v="27.8"/>
  </r>
  <r>
    <n v="60"/>
    <n v="536373"/>
    <n v="82482"/>
    <x v="54"/>
    <n v="6"/>
    <x v="2"/>
    <n v="2.1"/>
    <x v="0"/>
    <s v="United Kingdom"/>
    <d v="2025-09-20T12:25:24"/>
    <n v="12.6"/>
  </r>
  <r>
    <n v="61"/>
    <n v="536373"/>
    <s v="82494L"/>
    <x v="55"/>
    <n v="6"/>
    <x v="2"/>
    <n v="2.5499999999999998"/>
    <x v="0"/>
    <s v="United Kingdom"/>
    <d v="2025-09-20T12:25:24"/>
    <n v="15.3"/>
  </r>
  <r>
    <n v="62"/>
    <n v="536373"/>
    <s v="84029G"/>
    <x v="3"/>
    <n v="6"/>
    <x v="2"/>
    <n v="3.39"/>
    <x v="0"/>
    <s v="United Kingdom"/>
    <d v="2025-09-20T12:25:24"/>
    <n v="20.34"/>
  </r>
  <r>
    <n v="63"/>
    <n v="536373"/>
    <s v="84029E"/>
    <x v="4"/>
    <n v="6"/>
    <x v="2"/>
    <n v="3.39"/>
    <x v="0"/>
    <s v="United Kingdom"/>
    <d v="2025-09-20T12:25:24"/>
    <n v="20.34"/>
  </r>
  <r>
    <n v="64"/>
    <n v="536373"/>
    <n v="22752"/>
    <x v="5"/>
    <n v="2"/>
    <x v="2"/>
    <n v="7.65"/>
    <x v="0"/>
    <s v="United Kingdom"/>
    <d v="2025-09-20T12:25:24"/>
    <n v="15.3"/>
  </r>
  <r>
    <n v="65"/>
    <n v="536373"/>
    <n v="21730"/>
    <x v="6"/>
    <n v="6"/>
    <x v="2"/>
    <n v="4.25"/>
    <x v="0"/>
    <s v="United Kingdom"/>
    <d v="2025-09-20T12:25:24"/>
    <n v="25.5"/>
  </r>
  <r>
    <n v="66"/>
    <n v="536374"/>
    <n v="21258"/>
    <x v="56"/>
    <n v="32"/>
    <x v="2"/>
    <n v="10.95"/>
    <x v="4"/>
    <s v="United Kingdom"/>
    <d v="2025-09-20T12:25:24"/>
    <n v="350.4"/>
  </r>
  <r>
    <n v="67"/>
    <n v="536375"/>
    <s v="85123A"/>
    <x v="0"/>
    <n v="6"/>
    <x v="2"/>
    <n v="2.5499999999999998"/>
    <x v="0"/>
    <s v="United Kingdom"/>
    <d v="2025-09-20T12:25:24"/>
    <n v="15.3"/>
  </r>
  <r>
    <n v="68"/>
    <n v="536375"/>
    <n v="71053"/>
    <x v="1"/>
    <n v="6"/>
    <x v="2"/>
    <n v="3.39"/>
    <x v="0"/>
    <s v="United Kingdom"/>
    <d v="2025-09-20T12:25:24"/>
    <n v="20.34"/>
  </r>
  <r>
    <n v="69"/>
    <n v="536375"/>
    <s v="84406B"/>
    <x v="2"/>
    <n v="8"/>
    <x v="2"/>
    <n v="2.75"/>
    <x v="0"/>
    <s v="United Kingdom"/>
    <d v="2025-09-20T12:25:24"/>
    <n v="22"/>
  </r>
  <r>
    <n v="70"/>
    <n v="536375"/>
    <n v="20679"/>
    <x v="47"/>
    <n v="6"/>
    <x v="2"/>
    <n v="4.95"/>
    <x v="0"/>
    <s v="United Kingdom"/>
    <d v="2025-09-20T12:25:24"/>
    <n v="29.7"/>
  </r>
  <r>
    <n v="71"/>
    <n v="536375"/>
    <n v="37370"/>
    <x v="48"/>
    <n v="6"/>
    <x v="2"/>
    <n v="1.06"/>
    <x v="0"/>
    <s v="United Kingdom"/>
    <d v="2025-09-20T12:25:24"/>
    <n v="6.36"/>
  </r>
  <r>
    <n v="72"/>
    <n v="536375"/>
    <n v="21871"/>
    <x v="49"/>
    <n v="6"/>
    <x v="2"/>
    <n v="1.06"/>
    <x v="0"/>
    <s v="United Kingdom"/>
    <d v="2025-09-20T12:25:24"/>
    <n v="6.36"/>
  </r>
  <r>
    <n v="73"/>
    <n v="536375"/>
    <n v="21071"/>
    <x v="50"/>
    <n v="6"/>
    <x v="2"/>
    <n v="1.06"/>
    <x v="0"/>
    <s v="United Kingdom"/>
    <d v="2025-09-20T12:25:24"/>
    <n v="6.36"/>
  </r>
  <r>
    <n v="74"/>
    <n v="536375"/>
    <n v="21068"/>
    <x v="51"/>
    <n v="6"/>
    <x v="2"/>
    <n v="1.06"/>
    <x v="0"/>
    <s v="United Kingdom"/>
    <d v="2025-09-20T12:25:24"/>
    <n v="6.36"/>
  </r>
  <r>
    <n v="75"/>
    <n v="536375"/>
    <n v="82483"/>
    <x v="52"/>
    <n v="2"/>
    <x v="2"/>
    <n v="4.95"/>
    <x v="0"/>
    <s v="United Kingdom"/>
    <d v="2025-09-20T12:25:24"/>
    <n v="9.9"/>
  </r>
  <r>
    <n v="76"/>
    <n v="536375"/>
    <n v="82486"/>
    <x v="53"/>
    <n v="4"/>
    <x v="2"/>
    <n v="6.95"/>
    <x v="0"/>
    <s v="United Kingdom"/>
    <d v="2025-09-20T12:25:24"/>
    <n v="27.8"/>
  </r>
  <r>
    <n v="77"/>
    <n v="536375"/>
    <n v="82482"/>
    <x v="54"/>
    <n v="6"/>
    <x v="2"/>
    <n v="2.1"/>
    <x v="0"/>
    <s v="United Kingdom"/>
    <d v="2025-09-20T12:25:24"/>
    <n v="12.6"/>
  </r>
  <r>
    <n v="78"/>
    <n v="536375"/>
    <s v="82494L"/>
    <x v="55"/>
    <n v="6"/>
    <x v="2"/>
    <n v="2.5499999999999998"/>
    <x v="0"/>
    <s v="United Kingdom"/>
    <d v="2025-09-20T12:25:24"/>
    <n v="15.3"/>
  </r>
  <r>
    <n v="79"/>
    <n v="536375"/>
    <s v="84029G"/>
    <x v="3"/>
    <n v="6"/>
    <x v="2"/>
    <n v="3.39"/>
    <x v="0"/>
    <s v="United Kingdom"/>
    <d v="2025-09-20T12:25:24"/>
    <n v="20.34"/>
  </r>
  <r>
    <n v="80"/>
    <n v="536375"/>
    <s v="84029E"/>
    <x v="4"/>
    <n v="6"/>
    <x v="2"/>
    <n v="3.39"/>
    <x v="0"/>
    <s v="United Kingdom"/>
    <d v="2025-09-20T12:25:24"/>
    <n v="20.34"/>
  </r>
  <r>
    <n v="81"/>
    <n v="536375"/>
    <n v="22752"/>
    <x v="5"/>
    <n v="2"/>
    <x v="2"/>
    <n v="7.65"/>
    <x v="0"/>
    <s v="United Kingdom"/>
    <d v="2025-09-20T12:25:24"/>
    <n v="15.3"/>
  </r>
  <r>
    <n v="82"/>
    <n v="536375"/>
    <n v="21730"/>
    <x v="6"/>
    <n v="6"/>
    <x v="2"/>
    <n v="4.25"/>
    <x v="0"/>
    <s v="United Kingdom"/>
    <d v="2025-09-20T12:25:24"/>
    <n v="25.5"/>
  </r>
  <r>
    <n v="83"/>
    <n v="536376"/>
    <n v="22114"/>
    <x v="57"/>
    <n v="48"/>
    <x v="2"/>
    <n v="3.45"/>
    <x v="5"/>
    <s v="United Kingdom"/>
    <d v="2025-09-20T12:25:24"/>
    <n v="165.6"/>
  </r>
  <r>
    <n v="84"/>
    <n v="536376"/>
    <n v="21733"/>
    <x v="58"/>
    <n v="64"/>
    <x v="2"/>
    <n v="2.5499999999999998"/>
    <x v="5"/>
    <s v="United Kingdom"/>
    <d v="2025-09-20T12:25:24"/>
    <n v="163.19999999999999"/>
  </r>
  <r>
    <n v="85"/>
    <n v="536377"/>
    <n v="22632"/>
    <x v="8"/>
    <n v="6"/>
    <x v="2"/>
    <n v="1.85"/>
    <x v="0"/>
    <s v="United Kingdom"/>
    <d v="2025-09-20T12:25:24"/>
    <n v="11.1"/>
  </r>
  <r>
    <n v="86"/>
    <n v="536377"/>
    <n v="22633"/>
    <x v="7"/>
    <n v="6"/>
    <x v="2"/>
    <n v="1.85"/>
    <x v="0"/>
    <s v="United Kingdom"/>
    <d v="2025-09-20T12:25:24"/>
    <n v="11.1"/>
  </r>
  <r>
    <n v="87"/>
    <n v="536378"/>
    <n v="21931"/>
    <x v="59"/>
    <n v="10"/>
    <x v="2"/>
    <n v="1.95"/>
    <x v="6"/>
    <s v="United Kingdom"/>
    <d v="2025-09-20T12:25:24"/>
    <n v="19.5"/>
  </r>
  <r>
    <n v="88"/>
    <n v="536378"/>
    <n v="21929"/>
    <x v="60"/>
    <n v="10"/>
    <x v="2"/>
    <n v="1.95"/>
    <x v="6"/>
    <s v="United Kingdom"/>
    <d v="2025-09-20T12:25:24"/>
    <n v="19.5"/>
  </r>
  <r>
    <n v="89"/>
    <n v="536380"/>
    <n v="22961"/>
    <x v="61"/>
    <n v="24"/>
    <x v="2"/>
    <n v="1.45"/>
    <x v="7"/>
    <s v="United Kingdom"/>
    <d v="2025-09-20T12:25:24"/>
    <n v="34.799999999999997"/>
  </r>
  <r>
    <n v="90"/>
    <n v="536381"/>
    <n v="22139"/>
    <x v="62"/>
    <n v="23"/>
    <x v="2"/>
    <n v="4.25"/>
    <x v="8"/>
    <s v="United Kingdom"/>
    <d v="2025-09-20T12:25:24"/>
    <n v="97.75"/>
  </r>
  <r>
    <n v="91"/>
    <n v="536381"/>
    <n v="84854"/>
    <x v="63"/>
    <n v="5"/>
    <x v="2"/>
    <n v="4.95"/>
    <x v="8"/>
    <s v="United Kingdom"/>
    <d v="2025-09-20T12:25:24"/>
    <n v="24.75"/>
  </r>
  <r>
    <n v="92"/>
    <n v="536381"/>
    <n v="22411"/>
    <x v="64"/>
    <n v="10"/>
    <x v="2"/>
    <n v="1.95"/>
    <x v="8"/>
    <s v="United Kingdom"/>
    <d v="2025-09-20T12:25:24"/>
    <n v="19.5"/>
  </r>
  <r>
    <n v="93"/>
    <n v="536381"/>
    <n v="82567"/>
    <x v="65"/>
    <n v="2"/>
    <x v="2"/>
    <n v="2.1"/>
    <x v="8"/>
    <s v="United Kingdom"/>
    <d v="2025-09-20T12:25:24"/>
    <n v="4.2"/>
  </r>
  <r>
    <n v="94"/>
    <n v="536381"/>
    <n v="21672"/>
    <x v="66"/>
    <n v="6"/>
    <x v="2"/>
    <n v="1.25"/>
    <x v="8"/>
    <s v="United Kingdom"/>
    <d v="2025-09-20T12:25:24"/>
    <n v="7.5"/>
  </r>
  <r>
    <n v="95"/>
    <n v="536381"/>
    <n v="22774"/>
    <x v="67"/>
    <n v="24"/>
    <x v="2"/>
    <n v="1.25"/>
    <x v="8"/>
    <s v="United Kingdom"/>
    <d v="2025-09-20T12:25:24"/>
    <n v="30"/>
  </r>
  <r>
    <n v="96"/>
    <n v="536381"/>
    <n v="22771"/>
    <x v="68"/>
    <n v="24"/>
    <x v="2"/>
    <n v="1.25"/>
    <x v="8"/>
    <s v="United Kingdom"/>
    <d v="2025-09-20T12:25:24"/>
    <n v="30"/>
  </r>
  <r>
    <n v="97"/>
    <n v="536381"/>
    <n v="71270"/>
    <x v="69"/>
    <n v="1"/>
    <x v="2"/>
    <n v="1.25"/>
    <x v="8"/>
    <s v="United Kingdom"/>
    <d v="2025-09-20T12:25:24"/>
    <n v="1.25"/>
  </r>
  <r>
    <n v="98"/>
    <n v="536381"/>
    <n v="22262"/>
    <x v="70"/>
    <n v="1"/>
    <x v="2"/>
    <n v="0.85"/>
    <x v="8"/>
    <s v="United Kingdom"/>
    <d v="2025-09-20T12:25:24"/>
    <n v="0.85"/>
  </r>
  <r>
    <n v="99"/>
    <n v="536381"/>
    <n v="22637"/>
    <x v="71"/>
    <n v="1"/>
    <x v="2"/>
    <n v="2.5499999999999998"/>
    <x v="8"/>
    <s v="United Kingdom"/>
    <d v="2025-09-20T12:25:24"/>
    <n v="2.5499999999999998"/>
  </r>
  <r>
    <n v="101"/>
    <n v="536381"/>
    <n v="21169"/>
    <x v="72"/>
    <n v="3"/>
    <x v="2"/>
    <n v="1.69"/>
    <x v="8"/>
    <s v="United Kingdom"/>
    <d v="2025-09-20T12:25:24"/>
    <n v="5.07"/>
  </r>
  <r>
    <n v="102"/>
    <n v="536381"/>
    <n v="21166"/>
    <x v="73"/>
    <n v="1"/>
    <x v="2"/>
    <n v="1.95"/>
    <x v="8"/>
    <s v="United Kingdom"/>
    <d v="2025-09-20T12:25:24"/>
    <n v="1.95"/>
  </r>
  <r>
    <n v="103"/>
    <n v="536381"/>
    <n v="21175"/>
    <x v="74"/>
    <n v="2"/>
    <x v="2"/>
    <n v="2.1"/>
    <x v="8"/>
    <s v="United Kingdom"/>
    <d v="2025-09-20T12:25:24"/>
    <n v="4.2"/>
  </r>
  <r>
    <n v="104"/>
    <n v="536381"/>
    <s v="37444A"/>
    <x v="75"/>
    <n v="1"/>
    <x v="2"/>
    <n v="2.95"/>
    <x v="8"/>
    <s v="United Kingdom"/>
    <d v="2025-09-20T12:25:24"/>
    <n v="2.95"/>
  </r>
  <r>
    <n v="105"/>
    <n v="536381"/>
    <s v="37444C"/>
    <x v="76"/>
    <n v="1"/>
    <x v="2"/>
    <n v="2.95"/>
    <x v="8"/>
    <s v="United Kingdom"/>
    <d v="2025-09-20T12:25:24"/>
    <n v="2.95"/>
  </r>
  <r>
    <n v="106"/>
    <n v="536381"/>
    <n v="22086"/>
    <x v="46"/>
    <n v="4"/>
    <x v="2"/>
    <n v="2.95"/>
    <x v="8"/>
    <s v="United Kingdom"/>
    <d v="2025-09-20T12:25:24"/>
    <n v="11.8"/>
  </r>
  <r>
    <n v="107"/>
    <n v="536381"/>
    <n v="22083"/>
    <x v="77"/>
    <n v="1"/>
    <x v="2"/>
    <n v="2.95"/>
    <x v="8"/>
    <s v="United Kingdom"/>
    <d v="2025-09-20T12:25:24"/>
    <n v="2.95"/>
  </r>
  <r>
    <n v="110"/>
    <n v="536382"/>
    <s v="85123A"/>
    <x v="0"/>
    <n v="1"/>
    <x v="4"/>
    <n v="2.5499999999999998"/>
    <x v="9"/>
    <s v="ph"/>
    <d v="2025-09-22T20:57:04"/>
    <n v="2.5499999999999998"/>
  </r>
  <r>
    <n v="111"/>
    <n v="536382"/>
    <s v="85123A"/>
    <x v="0"/>
    <n v="1"/>
    <x v="4"/>
    <n v="2.5499999999999998"/>
    <x v="9"/>
    <s v="ph"/>
    <d v="2025-09-22T20:57:06"/>
    <n v="2.5499999999999998"/>
  </r>
  <r>
    <n v="112"/>
    <n v="536382"/>
    <s v="85123A"/>
    <x v="0"/>
    <n v="1"/>
    <x v="4"/>
    <n v="2.5499999999999998"/>
    <x v="9"/>
    <s v="ph"/>
    <d v="2025-09-22T20:57:11"/>
    <n v="2.5499999999999998"/>
  </r>
  <r>
    <n v="113"/>
    <n v="536382"/>
    <s v="85123A"/>
    <x v="0"/>
    <n v="1"/>
    <x v="4"/>
    <n v="2.5499999999999998"/>
    <x v="9"/>
    <s v="ph"/>
    <d v="2025-09-22T20:57:16"/>
    <n v="2.5499999999999998"/>
  </r>
  <r>
    <n v="114"/>
    <n v="536382"/>
    <s v="85123A"/>
    <x v="0"/>
    <n v="1"/>
    <x v="4"/>
    <n v="2.5499999999999998"/>
    <x v="9"/>
    <s v="ph"/>
    <d v="2025-09-22T20:57:17"/>
    <n v="2.5499999999999998"/>
  </r>
  <r>
    <n v="115"/>
    <n v="536382"/>
    <s v="85123A"/>
    <x v="0"/>
    <n v="1"/>
    <x v="4"/>
    <n v="2.5499999999999998"/>
    <x v="9"/>
    <s v="ph"/>
    <d v="2025-09-22T20:57:20"/>
    <n v="2.5499999999999998"/>
  </r>
  <r>
    <n v="116"/>
    <n v="536382"/>
    <s v="85123A"/>
    <x v="0"/>
    <n v="1"/>
    <x v="4"/>
    <n v="2.5499999999999998"/>
    <x v="9"/>
    <s v="ph"/>
    <d v="2025-09-22T20:58:42"/>
    <n v="2.5499999999999998"/>
  </r>
  <r>
    <n v="117"/>
    <n v="536382"/>
    <s v="85123A"/>
    <x v="0"/>
    <n v="10000"/>
    <x v="0"/>
    <n v="2.5499999999999998"/>
    <x v="9"/>
    <s v="ph111"/>
    <d v="2025-09-23T10:03:43"/>
    <n v="25500"/>
  </r>
  <r>
    <n v="118"/>
    <n v="536386"/>
    <s v="85123A"/>
    <x v="0"/>
    <n v="111"/>
    <x v="0"/>
    <n v="2.5499999999999998"/>
    <x v="10"/>
    <n v="1221"/>
    <d v="2025-09-27T11:21:35"/>
    <n v="283.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4066A-A9A9-4A32-B70E-6981E0688E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0" firstHeaderRow="1" firstDataRow="1" firstDataCol="1"/>
  <pivotFields count="14">
    <pivotField showAll="0"/>
    <pivotField showAll="0"/>
    <pivotField showAll="0"/>
    <pivotField axis="axisRow" showAll="0" sortType="descending">
      <items count="79">
        <item x="65"/>
        <item x="28"/>
        <item x="26"/>
        <item x="27"/>
        <item x="13"/>
        <item x="25"/>
        <item x="12"/>
        <item x="18"/>
        <item x="20"/>
        <item x="19"/>
        <item x="38"/>
        <item x="37"/>
        <item x="68"/>
        <item x="73"/>
        <item x="2"/>
        <item x="24"/>
        <item x="47"/>
        <item x="70"/>
        <item x="16"/>
        <item x="74"/>
        <item x="63"/>
        <item x="6"/>
        <item x="8"/>
        <item x="7"/>
        <item x="21"/>
        <item x="57"/>
        <item x="31"/>
        <item x="17"/>
        <item x="61"/>
        <item x="9"/>
        <item x="60"/>
        <item x="64"/>
        <item x="59"/>
        <item x="3"/>
        <item x="22"/>
        <item x="36"/>
        <item x="42"/>
        <item x="43"/>
        <item x="44"/>
        <item x="29"/>
        <item x="46"/>
        <item x="77"/>
        <item x="69"/>
        <item x="71"/>
        <item x="76"/>
        <item x="14"/>
        <item x="15"/>
        <item x="45"/>
        <item x="23"/>
        <item x="10"/>
        <item x="67"/>
        <item x="58"/>
        <item x="39"/>
        <item x="4"/>
        <item x="48"/>
        <item x="62"/>
        <item x="34"/>
        <item x="49"/>
        <item x="40"/>
        <item x="5"/>
        <item x="33"/>
        <item x="35"/>
        <item x="30"/>
        <item x="56"/>
        <item x="50"/>
        <item x="51"/>
        <item x="32"/>
        <item x="41"/>
        <item x="0"/>
        <item x="1"/>
        <item x="66"/>
        <item x="52"/>
        <item x="53"/>
        <item x="55"/>
        <item x="54"/>
        <item x="75"/>
        <item x="11"/>
        <item x="72"/>
        <item t="default"/>
      </items>
      <autoSortScope>
        <pivotArea dataOnly="0" outline="0" fieldPosition="0">
          <references count="1">
            <reference field="4294967294" count="1" selected="0">
              <x v="0"/>
            </reference>
          </references>
        </pivotArea>
      </autoSortScope>
    </pivotField>
    <pivotField showAll="0"/>
    <pivotField numFmtId="14" showAll="0">
      <items count="6">
        <item x="2"/>
        <item x="4"/>
        <item x="3"/>
        <item x="1"/>
        <item x="0"/>
        <item t="default"/>
      </items>
    </pivotField>
    <pivotField numFmtId="166" showAll="0"/>
    <pivotField showAll="0"/>
    <pivotField showAll="0"/>
    <pivotField numFmtId="47"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3"/>
  </rowFields>
  <rowItems count="79">
    <i>
      <x v="68"/>
    </i>
    <i>
      <x v="63"/>
    </i>
    <i>
      <x v="40"/>
    </i>
    <i>
      <x v="25"/>
    </i>
    <i>
      <x v="51"/>
    </i>
    <i>
      <x v="55"/>
    </i>
    <i>
      <x v="3"/>
    </i>
    <i>
      <x v="2"/>
    </i>
    <i>
      <x v="21"/>
    </i>
    <i>
      <x v="58"/>
    </i>
    <i>
      <x v="56"/>
    </i>
    <i>
      <x v="14"/>
    </i>
    <i>
      <x v="69"/>
    </i>
    <i>
      <x v="33"/>
    </i>
    <i>
      <x v="16"/>
    </i>
    <i>
      <x v="53"/>
    </i>
    <i>
      <x v="72"/>
    </i>
    <i>
      <x v="4"/>
    </i>
    <i>
      <x v="47"/>
    </i>
    <i>
      <x v="60"/>
    </i>
    <i>
      <x v="35"/>
    </i>
    <i>
      <x v="61"/>
    </i>
    <i>
      <x v="11"/>
    </i>
    <i>
      <x v="59"/>
    </i>
    <i>
      <x v="67"/>
    </i>
    <i>
      <x v="1"/>
    </i>
    <i>
      <x v="26"/>
    </i>
    <i>
      <x v="52"/>
    </i>
    <i>
      <x v="28"/>
    </i>
    <i>
      <x v="23"/>
    </i>
    <i>
      <x v="22"/>
    </i>
    <i>
      <x v="15"/>
    </i>
    <i>
      <x v="48"/>
    </i>
    <i>
      <x v="73"/>
    </i>
    <i>
      <x v="66"/>
    </i>
    <i>
      <x v="12"/>
    </i>
    <i>
      <x v="18"/>
    </i>
    <i>
      <x v="50"/>
    </i>
    <i>
      <x v="7"/>
    </i>
    <i>
      <x v="29"/>
    </i>
    <i>
      <x v="74"/>
    </i>
    <i>
      <x v="20"/>
    </i>
    <i>
      <x v="38"/>
    </i>
    <i>
      <x v="8"/>
    </i>
    <i>
      <x v="71"/>
    </i>
    <i>
      <x v="32"/>
    </i>
    <i>
      <x v="30"/>
    </i>
    <i>
      <x v="31"/>
    </i>
    <i>
      <x v="24"/>
    </i>
    <i>
      <x v="34"/>
    </i>
    <i>
      <x v="5"/>
    </i>
    <i>
      <x v="10"/>
    </i>
    <i>
      <x v="62"/>
    </i>
    <i>
      <x v="49"/>
    </i>
    <i>
      <x v="6"/>
    </i>
    <i>
      <x v="76"/>
    </i>
    <i>
      <x v="9"/>
    </i>
    <i>
      <x v="65"/>
    </i>
    <i>
      <x v="57"/>
    </i>
    <i>
      <x v="54"/>
    </i>
    <i>
      <x v="64"/>
    </i>
    <i>
      <x v="45"/>
    </i>
    <i>
      <x v="46"/>
    </i>
    <i>
      <x v="39"/>
    </i>
    <i>
      <x v="37"/>
    </i>
    <i>
      <x v="36"/>
    </i>
    <i>
      <x v="27"/>
    </i>
    <i>
      <x v="70"/>
    </i>
    <i>
      <x v="77"/>
    </i>
    <i>
      <x/>
    </i>
    <i>
      <x v="19"/>
    </i>
    <i>
      <x v="44"/>
    </i>
    <i>
      <x v="75"/>
    </i>
    <i>
      <x v="41"/>
    </i>
    <i>
      <x v="43"/>
    </i>
    <i>
      <x v="13"/>
    </i>
    <i>
      <x v="42"/>
    </i>
    <i>
      <x v="17"/>
    </i>
    <i t="grand">
      <x/>
    </i>
  </rowItems>
  <colItems count="1">
    <i/>
  </colItems>
  <dataFields count="1">
    <dataField name="Sum of TOTAL" fld="10" baseField="0" baseItem="0"/>
  </dataFields>
  <chartFormats count="79">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68"/>
          </reference>
        </references>
      </pivotArea>
    </chartFormat>
    <chartFormat chart="4" format="2">
      <pivotArea type="data" outline="0" fieldPosition="0">
        <references count="2">
          <reference field="4294967294" count="1" selected="0">
            <x v="0"/>
          </reference>
          <reference field="3" count="1" selected="0">
            <x v="63"/>
          </reference>
        </references>
      </pivotArea>
    </chartFormat>
    <chartFormat chart="4" format="3">
      <pivotArea type="data" outline="0" fieldPosition="0">
        <references count="2">
          <reference field="4294967294" count="1" selected="0">
            <x v="0"/>
          </reference>
          <reference field="3" count="1" selected="0">
            <x v="40"/>
          </reference>
        </references>
      </pivotArea>
    </chartFormat>
    <chartFormat chart="4" format="4">
      <pivotArea type="data" outline="0" fieldPosition="0">
        <references count="2">
          <reference field="4294967294" count="1" selected="0">
            <x v="0"/>
          </reference>
          <reference field="3" count="1" selected="0">
            <x v="25"/>
          </reference>
        </references>
      </pivotArea>
    </chartFormat>
    <chartFormat chart="4" format="5">
      <pivotArea type="data" outline="0" fieldPosition="0">
        <references count="2">
          <reference field="4294967294" count="1" selected="0">
            <x v="0"/>
          </reference>
          <reference field="3" count="1" selected="0">
            <x v="51"/>
          </reference>
        </references>
      </pivotArea>
    </chartFormat>
    <chartFormat chart="4" format="6">
      <pivotArea type="data" outline="0" fieldPosition="0">
        <references count="2">
          <reference field="4294967294" count="1" selected="0">
            <x v="0"/>
          </reference>
          <reference field="3" count="1" selected="0">
            <x v="55"/>
          </reference>
        </references>
      </pivotArea>
    </chartFormat>
    <chartFormat chart="4" format="7">
      <pivotArea type="data" outline="0" fieldPosition="0">
        <references count="2">
          <reference field="4294967294" count="1" selected="0">
            <x v="0"/>
          </reference>
          <reference field="3" count="1" selected="0">
            <x v="3"/>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21"/>
          </reference>
        </references>
      </pivotArea>
    </chartFormat>
    <chartFormat chart="4" format="10">
      <pivotArea type="data" outline="0" fieldPosition="0">
        <references count="2">
          <reference field="4294967294" count="1" selected="0">
            <x v="0"/>
          </reference>
          <reference field="3" count="1" selected="0">
            <x v="58"/>
          </reference>
        </references>
      </pivotArea>
    </chartFormat>
    <chartFormat chart="4" format="11">
      <pivotArea type="data" outline="0" fieldPosition="0">
        <references count="2">
          <reference field="4294967294" count="1" selected="0">
            <x v="0"/>
          </reference>
          <reference field="3" count="1" selected="0">
            <x v="56"/>
          </reference>
        </references>
      </pivotArea>
    </chartFormat>
    <chartFormat chart="4" format="12">
      <pivotArea type="data" outline="0" fieldPosition="0">
        <references count="2">
          <reference field="4294967294" count="1" selected="0">
            <x v="0"/>
          </reference>
          <reference field="3" count="1" selected="0">
            <x v="14"/>
          </reference>
        </references>
      </pivotArea>
    </chartFormat>
    <chartFormat chart="4" format="13">
      <pivotArea type="data" outline="0" fieldPosition="0">
        <references count="2">
          <reference field="4294967294" count="1" selected="0">
            <x v="0"/>
          </reference>
          <reference field="3" count="1" selected="0">
            <x v="69"/>
          </reference>
        </references>
      </pivotArea>
    </chartFormat>
    <chartFormat chart="4" format="14">
      <pivotArea type="data" outline="0" fieldPosition="0">
        <references count="2">
          <reference field="4294967294" count="1" selected="0">
            <x v="0"/>
          </reference>
          <reference field="3" count="1" selected="0">
            <x v="33"/>
          </reference>
        </references>
      </pivotArea>
    </chartFormat>
    <chartFormat chart="4" format="15">
      <pivotArea type="data" outline="0" fieldPosition="0">
        <references count="2">
          <reference field="4294967294" count="1" selected="0">
            <x v="0"/>
          </reference>
          <reference field="3" count="1" selected="0">
            <x v="16"/>
          </reference>
        </references>
      </pivotArea>
    </chartFormat>
    <chartFormat chart="4" format="16">
      <pivotArea type="data" outline="0" fieldPosition="0">
        <references count="2">
          <reference field="4294967294" count="1" selected="0">
            <x v="0"/>
          </reference>
          <reference field="3" count="1" selected="0">
            <x v="53"/>
          </reference>
        </references>
      </pivotArea>
    </chartFormat>
    <chartFormat chart="4" format="17">
      <pivotArea type="data" outline="0" fieldPosition="0">
        <references count="2">
          <reference field="4294967294" count="1" selected="0">
            <x v="0"/>
          </reference>
          <reference field="3" count="1" selected="0">
            <x v="72"/>
          </reference>
        </references>
      </pivotArea>
    </chartFormat>
    <chartFormat chart="4" format="18">
      <pivotArea type="data" outline="0" fieldPosition="0">
        <references count="2">
          <reference field="4294967294" count="1" selected="0">
            <x v="0"/>
          </reference>
          <reference field="3" count="1" selected="0">
            <x v="4"/>
          </reference>
        </references>
      </pivotArea>
    </chartFormat>
    <chartFormat chart="4" format="19">
      <pivotArea type="data" outline="0" fieldPosition="0">
        <references count="2">
          <reference field="4294967294" count="1" selected="0">
            <x v="0"/>
          </reference>
          <reference field="3" count="1" selected="0">
            <x v="47"/>
          </reference>
        </references>
      </pivotArea>
    </chartFormat>
    <chartFormat chart="4" format="20">
      <pivotArea type="data" outline="0" fieldPosition="0">
        <references count="2">
          <reference field="4294967294" count="1" selected="0">
            <x v="0"/>
          </reference>
          <reference field="3" count="1" selected="0">
            <x v="60"/>
          </reference>
        </references>
      </pivotArea>
    </chartFormat>
    <chartFormat chart="4" format="21">
      <pivotArea type="data" outline="0" fieldPosition="0">
        <references count="2">
          <reference field="4294967294" count="1" selected="0">
            <x v="0"/>
          </reference>
          <reference field="3" count="1" selected="0">
            <x v="35"/>
          </reference>
        </references>
      </pivotArea>
    </chartFormat>
    <chartFormat chart="4" format="22">
      <pivotArea type="data" outline="0" fieldPosition="0">
        <references count="2">
          <reference field="4294967294" count="1" selected="0">
            <x v="0"/>
          </reference>
          <reference field="3" count="1" selected="0">
            <x v="61"/>
          </reference>
        </references>
      </pivotArea>
    </chartFormat>
    <chartFormat chart="4" format="23">
      <pivotArea type="data" outline="0" fieldPosition="0">
        <references count="2">
          <reference field="4294967294" count="1" selected="0">
            <x v="0"/>
          </reference>
          <reference field="3" count="1" selected="0">
            <x v="11"/>
          </reference>
        </references>
      </pivotArea>
    </chartFormat>
    <chartFormat chart="4" format="24">
      <pivotArea type="data" outline="0" fieldPosition="0">
        <references count="2">
          <reference field="4294967294" count="1" selected="0">
            <x v="0"/>
          </reference>
          <reference field="3" count="1" selected="0">
            <x v="59"/>
          </reference>
        </references>
      </pivotArea>
    </chartFormat>
    <chartFormat chart="4" format="25">
      <pivotArea type="data" outline="0" fieldPosition="0">
        <references count="2">
          <reference field="4294967294" count="1" selected="0">
            <x v="0"/>
          </reference>
          <reference field="3" count="1" selected="0">
            <x v="67"/>
          </reference>
        </references>
      </pivotArea>
    </chartFormat>
    <chartFormat chart="4" format="26">
      <pivotArea type="data" outline="0" fieldPosition="0">
        <references count="2">
          <reference field="4294967294" count="1" selected="0">
            <x v="0"/>
          </reference>
          <reference field="3" count="1" selected="0">
            <x v="1"/>
          </reference>
        </references>
      </pivotArea>
    </chartFormat>
    <chartFormat chart="4" format="27">
      <pivotArea type="data" outline="0" fieldPosition="0">
        <references count="2">
          <reference field="4294967294" count="1" selected="0">
            <x v="0"/>
          </reference>
          <reference field="3" count="1" selected="0">
            <x v="26"/>
          </reference>
        </references>
      </pivotArea>
    </chartFormat>
    <chartFormat chart="4" format="28">
      <pivotArea type="data" outline="0" fieldPosition="0">
        <references count="2">
          <reference field="4294967294" count="1" selected="0">
            <x v="0"/>
          </reference>
          <reference field="3" count="1" selected="0">
            <x v="52"/>
          </reference>
        </references>
      </pivotArea>
    </chartFormat>
    <chartFormat chart="4" format="29">
      <pivotArea type="data" outline="0" fieldPosition="0">
        <references count="2">
          <reference field="4294967294" count="1" selected="0">
            <x v="0"/>
          </reference>
          <reference field="3" count="1" selected="0">
            <x v="28"/>
          </reference>
        </references>
      </pivotArea>
    </chartFormat>
    <chartFormat chart="4" format="30">
      <pivotArea type="data" outline="0" fieldPosition="0">
        <references count="2">
          <reference field="4294967294" count="1" selected="0">
            <x v="0"/>
          </reference>
          <reference field="3" count="1" selected="0">
            <x v="23"/>
          </reference>
        </references>
      </pivotArea>
    </chartFormat>
    <chartFormat chart="4" format="31">
      <pivotArea type="data" outline="0" fieldPosition="0">
        <references count="2">
          <reference field="4294967294" count="1" selected="0">
            <x v="0"/>
          </reference>
          <reference field="3" count="1" selected="0">
            <x v="22"/>
          </reference>
        </references>
      </pivotArea>
    </chartFormat>
    <chartFormat chart="4" format="32">
      <pivotArea type="data" outline="0" fieldPosition="0">
        <references count="2">
          <reference field="4294967294" count="1" selected="0">
            <x v="0"/>
          </reference>
          <reference field="3" count="1" selected="0">
            <x v="15"/>
          </reference>
        </references>
      </pivotArea>
    </chartFormat>
    <chartFormat chart="4" format="33">
      <pivotArea type="data" outline="0" fieldPosition="0">
        <references count="2">
          <reference field="4294967294" count="1" selected="0">
            <x v="0"/>
          </reference>
          <reference field="3" count="1" selected="0">
            <x v="48"/>
          </reference>
        </references>
      </pivotArea>
    </chartFormat>
    <chartFormat chart="4" format="34">
      <pivotArea type="data" outline="0" fieldPosition="0">
        <references count="2">
          <reference field="4294967294" count="1" selected="0">
            <x v="0"/>
          </reference>
          <reference field="3" count="1" selected="0">
            <x v="73"/>
          </reference>
        </references>
      </pivotArea>
    </chartFormat>
    <chartFormat chart="4" format="35">
      <pivotArea type="data" outline="0" fieldPosition="0">
        <references count="2">
          <reference field="4294967294" count="1" selected="0">
            <x v="0"/>
          </reference>
          <reference field="3" count="1" selected="0">
            <x v="66"/>
          </reference>
        </references>
      </pivotArea>
    </chartFormat>
    <chartFormat chart="4" format="36">
      <pivotArea type="data" outline="0" fieldPosition="0">
        <references count="2">
          <reference field="4294967294" count="1" selected="0">
            <x v="0"/>
          </reference>
          <reference field="3" count="1" selected="0">
            <x v="12"/>
          </reference>
        </references>
      </pivotArea>
    </chartFormat>
    <chartFormat chart="4" format="37">
      <pivotArea type="data" outline="0" fieldPosition="0">
        <references count="2">
          <reference field="4294967294" count="1" selected="0">
            <x v="0"/>
          </reference>
          <reference field="3" count="1" selected="0">
            <x v="18"/>
          </reference>
        </references>
      </pivotArea>
    </chartFormat>
    <chartFormat chart="4" format="38">
      <pivotArea type="data" outline="0" fieldPosition="0">
        <references count="2">
          <reference field="4294967294" count="1" selected="0">
            <x v="0"/>
          </reference>
          <reference field="3" count="1" selected="0">
            <x v="50"/>
          </reference>
        </references>
      </pivotArea>
    </chartFormat>
    <chartFormat chart="4" format="39">
      <pivotArea type="data" outline="0" fieldPosition="0">
        <references count="2">
          <reference field="4294967294" count="1" selected="0">
            <x v="0"/>
          </reference>
          <reference field="3" count="1" selected="0">
            <x v="7"/>
          </reference>
        </references>
      </pivotArea>
    </chartFormat>
    <chartFormat chart="4" format="40">
      <pivotArea type="data" outline="0" fieldPosition="0">
        <references count="2">
          <reference field="4294967294" count="1" selected="0">
            <x v="0"/>
          </reference>
          <reference field="3" count="1" selected="0">
            <x v="29"/>
          </reference>
        </references>
      </pivotArea>
    </chartFormat>
    <chartFormat chart="4" format="41">
      <pivotArea type="data" outline="0" fieldPosition="0">
        <references count="2">
          <reference field="4294967294" count="1" selected="0">
            <x v="0"/>
          </reference>
          <reference field="3" count="1" selected="0">
            <x v="74"/>
          </reference>
        </references>
      </pivotArea>
    </chartFormat>
    <chartFormat chart="4" format="42">
      <pivotArea type="data" outline="0" fieldPosition="0">
        <references count="2">
          <reference field="4294967294" count="1" selected="0">
            <x v="0"/>
          </reference>
          <reference field="3" count="1" selected="0">
            <x v="20"/>
          </reference>
        </references>
      </pivotArea>
    </chartFormat>
    <chartFormat chart="4" format="43">
      <pivotArea type="data" outline="0" fieldPosition="0">
        <references count="2">
          <reference field="4294967294" count="1" selected="0">
            <x v="0"/>
          </reference>
          <reference field="3" count="1" selected="0">
            <x v="38"/>
          </reference>
        </references>
      </pivotArea>
    </chartFormat>
    <chartFormat chart="4" format="44">
      <pivotArea type="data" outline="0" fieldPosition="0">
        <references count="2">
          <reference field="4294967294" count="1" selected="0">
            <x v="0"/>
          </reference>
          <reference field="3" count="1" selected="0">
            <x v="8"/>
          </reference>
        </references>
      </pivotArea>
    </chartFormat>
    <chartFormat chart="4" format="45">
      <pivotArea type="data" outline="0" fieldPosition="0">
        <references count="2">
          <reference field="4294967294" count="1" selected="0">
            <x v="0"/>
          </reference>
          <reference field="3" count="1" selected="0">
            <x v="71"/>
          </reference>
        </references>
      </pivotArea>
    </chartFormat>
    <chartFormat chart="4" format="46">
      <pivotArea type="data" outline="0" fieldPosition="0">
        <references count="2">
          <reference field="4294967294" count="1" selected="0">
            <x v="0"/>
          </reference>
          <reference field="3" count="1" selected="0">
            <x v="32"/>
          </reference>
        </references>
      </pivotArea>
    </chartFormat>
    <chartFormat chart="4" format="47">
      <pivotArea type="data" outline="0" fieldPosition="0">
        <references count="2">
          <reference field="4294967294" count="1" selected="0">
            <x v="0"/>
          </reference>
          <reference field="3" count="1" selected="0">
            <x v="30"/>
          </reference>
        </references>
      </pivotArea>
    </chartFormat>
    <chartFormat chart="4" format="48">
      <pivotArea type="data" outline="0" fieldPosition="0">
        <references count="2">
          <reference field="4294967294" count="1" selected="0">
            <x v="0"/>
          </reference>
          <reference field="3" count="1" selected="0">
            <x v="31"/>
          </reference>
        </references>
      </pivotArea>
    </chartFormat>
    <chartFormat chart="4" format="49">
      <pivotArea type="data" outline="0" fieldPosition="0">
        <references count="2">
          <reference field="4294967294" count="1" selected="0">
            <x v="0"/>
          </reference>
          <reference field="3" count="1" selected="0">
            <x v="24"/>
          </reference>
        </references>
      </pivotArea>
    </chartFormat>
    <chartFormat chart="4" format="50">
      <pivotArea type="data" outline="0" fieldPosition="0">
        <references count="2">
          <reference field="4294967294" count="1" selected="0">
            <x v="0"/>
          </reference>
          <reference field="3" count="1" selected="0">
            <x v="34"/>
          </reference>
        </references>
      </pivotArea>
    </chartFormat>
    <chartFormat chart="4" format="51">
      <pivotArea type="data" outline="0" fieldPosition="0">
        <references count="2">
          <reference field="4294967294" count="1" selected="0">
            <x v="0"/>
          </reference>
          <reference field="3" count="1" selected="0">
            <x v="5"/>
          </reference>
        </references>
      </pivotArea>
    </chartFormat>
    <chartFormat chart="4" format="52">
      <pivotArea type="data" outline="0" fieldPosition="0">
        <references count="2">
          <reference field="4294967294" count="1" selected="0">
            <x v="0"/>
          </reference>
          <reference field="3" count="1" selected="0">
            <x v="10"/>
          </reference>
        </references>
      </pivotArea>
    </chartFormat>
    <chartFormat chart="4" format="53">
      <pivotArea type="data" outline="0" fieldPosition="0">
        <references count="2">
          <reference field="4294967294" count="1" selected="0">
            <x v="0"/>
          </reference>
          <reference field="3" count="1" selected="0">
            <x v="62"/>
          </reference>
        </references>
      </pivotArea>
    </chartFormat>
    <chartFormat chart="4" format="54">
      <pivotArea type="data" outline="0" fieldPosition="0">
        <references count="2">
          <reference field="4294967294" count="1" selected="0">
            <x v="0"/>
          </reference>
          <reference field="3" count="1" selected="0">
            <x v="49"/>
          </reference>
        </references>
      </pivotArea>
    </chartFormat>
    <chartFormat chart="4" format="55">
      <pivotArea type="data" outline="0" fieldPosition="0">
        <references count="2">
          <reference field="4294967294" count="1" selected="0">
            <x v="0"/>
          </reference>
          <reference field="3" count="1" selected="0">
            <x v="6"/>
          </reference>
        </references>
      </pivotArea>
    </chartFormat>
    <chartFormat chart="4" format="56">
      <pivotArea type="data" outline="0" fieldPosition="0">
        <references count="2">
          <reference field="4294967294" count="1" selected="0">
            <x v="0"/>
          </reference>
          <reference field="3" count="1" selected="0">
            <x v="76"/>
          </reference>
        </references>
      </pivotArea>
    </chartFormat>
    <chartFormat chart="4" format="57">
      <pivotArea type="data" outline="0" fieldPosition="0">
        <references count="2">
          <reference field="4294967294" count="1" selected="0">
            <x v="0"/>
          </reference>
          <reference field="3" count="1" selected="0">
            <x v="9"/>
          </reference>
        </references>
      </pivotArea>
    </chartFormat>
    <chartFormat chart="4" format="58">
      <pivotArea type="data" outline="0" fieldPosition="0">
        <references count="2">
          <reference field="4294967294" count="1" selected="0">
            <x v="0"/>
          </reference>
          <reference field="3" count="1" selected="0">
            <x v="65"/>
          </reference>
        </references>
      </pivotArea>
    </chartFormat>
    <chartFormat chart="4" format="59">
      <pivotArea type="data" outline="0" fieldPosition="0">
        <references count="2">
          <reference field="4294967294" count="1" selected="0">
            <x v="0"/>
          </reference>
          <reference field="3" count="1" selected="0">
            <x v="57"/>
          </reference>
        </references>
      </pivotArea>
    </chartFormat>
    <chartFormat chart="4" format="60">
      <pivotArea type="data" outline="0" fieldPosition="0">
        <references count="2">
          <reference field="4294967294" count="1" selected="0">
            <x v="0"/>
          </reference>
          <reference field="3" count="1" selected="0">
            <x v="54"/>
          </reference>
        </references>
      </pivotArea>
    </chartFormat>
    <chartFormat chart="4" format="61">
      <pivotArea type="data" outline="0" fieldPosition="0">
        <references count="2">
          <reference field="4294967294" count="1" selected="0">
            <x v="0"/>
          </reference>
          <reference field="3" count="1" selected="0">
            <x v="64"/>
          </reference>
        </references>
      </pivotArea>
    </chartFormat>
    <chartFormat chart="4" format="62">
      <pivotArea type="data" outline="0" fieldPosition="0">
        <references count="2">
          <reference field="4294967294" count="1" selected="0">
            <x v="0"/>
          </reference>
          <reference field="3" count="1" selected="0">
            <x v="45"/>
          </reference>
        </references>
      </pivotArea>
    </chartFormat>
    <chartFormat chart="4" format="63">
      <pivotArea type="data" outline="0" fieldPosition="0">
        <references count="2">
          <reference field="4294967294" count="1" selected="0">
            <x v="0"/>
          </reference>
          <reference field="3" count="1" selected="0">
            <x v="46"/>
          </reference>
        </references>
      </pivotArea>
    </chartFormat>
    <chartFormat chart="4" format="64">
      <pivotArea type="data" outline="0" fieldPosition="0">
        <references count="2">
          <reference field="4294967294" count="1" selected="0">
            <x v="0"/>
          </reference>
          <reference field="3" count="1" selected="0">
            <x v="39"/>
          </reference>
        </references>
      </pivotArea>
    </chartFormat>
    <chartFormat chart="4" format="65">
      <pivotArea type="data" outline="0" fieldPosition="0">
        <references count="2">
          <reference field="4294967294" count="1" selected="0">
            <x v="0"/>
          </reference>
          <reference field="3" count="1" selected="0">
            <x v="37"/>
          </reference>
        </references>
      </pivotArea>
    </chartFormat>
    <chartFormat chart="4" format="66">
      <pivotArea type="data" outline="0" fieldPosition="0">
        <references count="2">
          <reference field="4294967294" count="1" selected="0">
            <x v="0"/>
          </reference>
          <reference field="3" count="1" selected="0">
            <x v="36"/>
          </reference>
        </references>
      </pivotArea>
    </chartFormat>
    <chartFormat chart="4" format="67">
      <pivotArea type="data" outline="0" fieldPosition="0">
        <references count="2">
          <reference field="4294967294" count="1" selected="0">
            <x v="0"/>
          </reference>
          <reference field="3" count="1" selected="0">
            <x v="27"/>
          </reference>
        </references>
      </pivotArea>
    </chartFormat>
    <chartFormat chart="4" format="68">
      <pivotArea type="data" outline="0" fieldPosition="0">
        <references count="2">
          <reference field="4294967294" count="1" selected="0">
            <x v="0"/>
          </reference>
          <reference field="3" count="1" selected="0">
            <x v="70"/>
          </reference>
        </references>
      </pivotArea>
    </chartFormat>
    <chartFormat chart="4" format="69">
      <pivotArea type="data" outline="0" fieldPosition="0">
        <references count="2">
          <reference field="4294967294" count="1" selected="0">
            <x v="0"/>
          </reference>
          <reference field="3" count="1" selected="0">
            <x v="77"/>
          </reference>
        </references>
      </pivotArea>
    </chartFormat>
    <chartFormat chart="4" format="70">
      <pivotArea type="data" outline="0" fieldPosition="0">
        <references count="2">
          <reference field="4294967294" count="1" selected="0">
            <x v="0"/>
          </reference>
          <reference field="3" count="1" selected="0">
            <x v="0"/>
          </reference>
        </references>
      </pivotArea>
    </chartFormat>
    <chartFormat chart="4" format="71">
      <pivotArea type="data" outline="0" fieldPosition="0">
        <references count="2">
          <reference field="4294967294" count="1" selected="0">
            <x v="0"/>
          </reference>
          <reference field="3" count="1" selected="0">
            <x v="19"/>
          </reference>
        </references>
      </pivotArea>
    </chartFormat>
    <chartFormat chart="4" format="72">
      <pivotArea type="data" outline="0" fieldPosition="0">
        <references count="2">
          <reference field="4294967294" count="1" selected="0">
            <x v="0"/>
          </reference>
          <reference field="3" count="1" selected="0">
            <x v="44"/>
          </reference>
        </references>
      </pivotArea>
    </chartFormat>
    <chartFormat chart="4" format="73">
      <pivotArea type="data" outline="0" fieldPosition="0">
        <references count="2">
          <reference field="4294967294" count="1" selected="0">
            <x v="0"/>
          </reference>
          <reference field="3" count="1" selected="0">
            <x v="75"/>
          </reference>
        </references>
      </pivotArea>
    </chartFormat>
    <chartFormat chart="4" format="74">
      <pivotArea type="data" outline="0" fieldPosition="0">
        <references count="2">
          <reference field="4294967294" count="1" selected="0">
            <x v="0"/>
          </reference>
          <reference field="3" count="1" selected="0">
            <x v="41"/>
          </reference>
        </references>
      </pivotArea>
    </chartFormat>
    <chartFormat chart="4" format="75">
      <pivotArea type="data" outline="0" fieldPosition="0">
        <references count="2">
          <reference field="4294967294" count="1" selected="0">
            <x v="0"/>
          </reference>
          <reference field="3" count="1" selected="0">
            <x v="43"/>
          </reference>
        </references>
      </pivotArea>
    </chartFormat>
    <chartFormat chart="4" format="76">
      <pivotArea type="data" outline="0" fieldPosition="0">
        <references count="2">
          <reference field="4294967294" count="1" selected="0">
            <x v="0"/>
          </reference>
          <reference field="3" count="1" selected="0">
            <x v="13"/>
          </reference>
        </references>
      </pivotArea>
    </chartFormat>
    <chartFormat chart="4" format="77">
      <pivotArea type="data" outline="0" fieldPosition="0">
        <references count="2">
          <reference field="4294967294" count="1" selected="0">
            <x v="0"/>
          </reference>
          <reference field="3" count="1" selected="0">
            <x v="42"/>
          </reference>
        </references>
      </pivotArea>
    </chartFormat>
    <chartFormat chart="4" format="78">
      <pivotArea type="data" outline="0" fieldPosition="0">
        <references count="2">
          <reference field="4294967294" count="1" selected="0">
            <x v="0"/>
          </reference>
          <reference field="3"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D139A-0939-45A4-8971-24DDFC8511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4">
    <pivotField showAll="0"/>
    <pivotField dataField="1" showAll="0"/>
    <pivotField showAll="0"/>
    <pivotField showAll="0"/>
    <pivotField showAll="0"/>
    <pivotField numFmtId="14" showAll="0">
      <items count="6">
        <item x="2"/>
        <item h="1" x="4"/>
        <item h="1" x="3"/>
        <item h="1" x="1"/>
        <item h="1" x="0"/>
        <item t="default"/>
      </items>
    </pivotField>
    <pivotField numFmtId="166" showAll="0"/>
    <pivotField axis="axisRow" showAll="0" sortType="descending">
      <items count="12">
        <item x="2"/>
        <item x="1"/>
        <item x="3"/>
        <item x="6"/>
        <item x="4"/>
        <item x="5"/>
        <item x="8"/>
        <item x="7"/>
        <item x="0"/>
        <item x="9"/>
        <item x="10"/>
        <item t="default"/>
      </items>
      <autoSortScope>
        <pivotArea dataOnly="0" outline="0" fieldPosition="0">
          <references count="1">
            <reference field="4294967294" count="1" selected="0">
              <x v="0"/>
            </reference>
          </references>
        </pivotArea>
      </autoSortScope>
    </pivotField>
    <pivotField showAll="0"/>
    <pivotField numFmtId="47"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7"/>
  </rowFields>
  <rowItems count="10">
    <i>
      <x v="8"/>
    </i>
    <i>
      <x/>
    </i>
    <i>
      <x v="1"/>
    </i>
    <i>
      <x v="6"/>
    </i>
    <i>
      <x v="5"/>
    </i>
    <i>
      <x v="3"/>
    </i>
    <i>
      <x v="7"/>
    </i>
    <i>
      <x v="2"/>
    </i>
    <i>
      <x v="4"/>
    </i>
    <i t="grand">
      <x/>
    </i>
  </rowItems>
  <colItems count="1">
    <i/>
  </colItems>
  <dataFields count="1">
    <dataField name="Count of INVOICE_NO" fld="1"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38C51941-B229-4D2E-81D0-08A1B85ABE94}" sourceName="INVOICE_DATE">
  <pivotTables>
    <pivotTable tabId="17" name="PivotTable4"/>
  </pivotTables>
  <data>
    <tabular pivotCacheId="1248031056">
      <items count="5">
        <i x="2" s="1"/>
        <i x="4"/>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DATE" xr10:uid="{A838DB6E-03A8-4B9F-9439-B59AD282F20A}" cache="Slicer_INVOICE_DATE" caption="INVOICE_D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0FD4-7BC8-4F73-ACC5-668502609F7E}">
  <dimension ref="A1:C3"/>
  <sheetViews>
    <sheetView zoomScale="66" workbookViewId="0">
      <selection activeCell="I2" sqref="I2"/>
    </sheetView>
  </sheetViews>
  <sheetFormatPr defaultRowHeight="15" x14ac:dyDescent="0.25"/>
  <cols>
    <col min="1" max="1" width="42.28515625" customWidth="1"/>
    <col min="2" max="2" width="43.7109375" customWidth="1"/>
    <col min="3" max="3" width="46.28515625" customWidth="1"/>
  </cols>
  <sheetData>
    <row r="1" spans="1:3" ht="180" x14ac:dyDescent="0.25">
      <c r="A1" s="1" t="s">
        <v>127</v>
      </c>
      <c r="B1" s="1"/>
      <c r="C1" s="91" t="s">
        <v>128</v>
      </c>
    </row>
    <row r="2" spans="1:3" ht="135" x14ac:dyDescent="0.25">
      <c r="A2" s="1" t="s">
        <v>130</v>
      </c>
      <c r="B2" s="1"/>
      <c r="C2" s="91" t="s">
        <v>129</v>
      </c>
    </row>
    <row r="3" spans="1:3" ht="135" x14ac:dyDescent="0.25">
      <c r="A3" s="1" t="s">
        <v>131</v>
      </c>
      <c r="B3" s="1"/>
      <c r="C3" s="91" t="s">
        <v>132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55FD-DE1F-432A-A3F2-3E0B1AB32C8A}">
  <sheetPr>
    <tabColor theme="8" tint="0.79998168889431442"/>
  </sheetPr>
  <dimension ref="A1:L126"/>
  <sheetViews>
    <sheetView zoomScale="60" zoomScaleNormal="100" workbookViewId="0">
      <pane ySplit="9" topLeftCell="A88" activePane="bottomLeft" state="frozen"/>
      <selection pane="bottomLeft" activeCell="A10" sqref="A10:XFD10"/>
    </sheetView>
  </sheetViews>
  <sheetFormatPr defaultRowHeight="15" x14ac:dyDescent="0.25"/>
  <cols>
    <col min="1" max="1" width="19.42578125" customWidth="1"/>
    <col min="2" max="2" width="17.140625" customWidth="1"/>
    <col min="3" max="3" width="39.7109375" style="20" bestFit="1" customWidth="1"/>
    <col min="4" max="4" width="36.5703125" customWidth="1"/>
    <col min="5" max="5" width="13.5703125" bestFit="1" customWidth="1"/>
    <col min="6" max="6" width="19.85546875" style="22" customWidth="1"/>
    <col min="7" max="7" width="19.85546875" customWidth="1"/>
    <col min="8" max="8" width="15.140625" bestFit="1" customWidth="1"/>
    <col min="9" max="9" width="18.140625" style="14" customWidth="1"/>
    <col min="10" max="10" width="12.140625" customWidth="1"/>
  </cols>
  <sheetData>
    <row r="1" spans="1:12" x14ac:dyDescent="0.25">
      <c r="A1" s="58" t="s">
        <v>112</v>
      </c>
      <c r="B1" s="58" t="s">
        <v>111</v>
      </c>
      <c r="C1" s="59" t="s">
        <v>113</v>
      </c>
      <c r="D1" s="58" t="s">
        <v>114</v>
      </c>
      <c r="E1" s="60" t="s">
        <v>115</v>
      </c>
      <c r="F1" s="61" t="s">
        <v>116</v>
      </c>
      <c r="G1" s="58" t="s">
        <v>117</v>
      </c>
      <c r="H1" s="58" t="s">
        <v>118</v>
      </c>
      <c r="I1" s="62" t="s">
        <v>119</v>
      </c>
      <c r="J1" s="62" t="s">
        <v>120</v>
      </c>
      <c r="K1" s="63" t="s">
        <v>87</v>
      </c>
      <c r="L1" s="35"/>
    </row>
    <row r="2" spans="1:12" x14ac:dyDescent="0.25">
      <c r="A2" s="52">
        <v>1</v>
      </c>
      <c r="B2" s="52">
        <v>536382</v>
      </c>
      <c r="C2" s="64" t="s">
        <v>19</v>
      </c>
      <c r="D2" s="52" t="s">
        <v>20</v>
      </c>
      <c r="E2" s="52">
        <v>100</v>
      </c>
      <c r="F2" s="65">
        <v>45927</v>
      </c>
      <c r="G2" s="66">
        <v>2.5499999999999998</v>
      </c>
      <c r="H2" s="67">
        <v>17850</v>
      </c>
      <c r="I2" s="35" t="s">
        <v>21</v>
      </c>
      <c r="J2" s="68">
        <v>45920.517633912037</v>
      </c>
      <c r="K2" s="35">
        <v>255</v>
      </c>
      <c r="L2" s="35"/>
    </row>
    <row r="3" spans="1:12" x14ac:dyDescent="0.25">
      <c r="A3" s="52">
        <v>2</v>
      </c>
      <c r="B3" s="52">
        <v>536383</v>
      </c>
      <c r="C3" s="64">
        <v>71053</v>
      </c>
      <c r="D3" s="52" t="s">
        <v>22</v>
      </c>
      <c r="E3" s="52">
        <v>6</v>
      </c>
      <c r="F3" s="65">
        <v>45925</v>
      </c>
      <c r="G3" s="66">
        <v>3.39</v>
      </c>
      <c r="H3" s="67">
        <v>17850</v>
      </c>
      <c r="I3" s="35" t="s">
        <v>21</v>
      </c>
      <c r="J3" s="68">
        <v>45920.517633912037</v>
      </c>
      <c r="K3" s="35">
        <v>20.34</v>
      </c>
      <c r="L3" s="35"/>
    </row>
    <row r="4" spans="1:12" x14ac:dyDescent="0.25">
      <c r="A4" s="52">
        <v>3</v>
      </c>
      <c r="B4" s="52">
        <v>536384</v>
      </c>
      <c r="C4" s="64" t="s">
        <v>23</v>
      </c>
      <c r="D4" s="52" t="s">
        <v>24</v>
      </c>
      <c r="E4" s="52">
        <v>8</v>
      </c>
      <c r="F4" s="65">
        <v>45925</v>
      </c>
      <c r="G4" s="66">
        <v>2.75</v>
      </c>
      <c r="H4" s="67">
        <v>17850</v>
      </c>
      <c r="I4" s="35" t="s">
        <v>21</v>
      </c>
      <c r="J4" s="68">
        <v>45920.517633912037</v>
      </c>
      <c r="K4" s="35">
        <v>22</v>
      </c>
      <c r="L4" s="35"/>
    </row>
    <row r="5" spans="1:12" x14ac:dyDescent="0.25">
      <c r="A5" s="52">
        <v>4</v>
      </c>
      <c r="B5" s="52">
        <v>536365</v>
      </c>
      <c r="C5" s="64" t="s">
        <v>25</v>
      </c>
      <c r="D5" s="52" t="s">
        <v>26</v>
      </c>
      <c r="E5" s="52">
        <v>6</v>
      </c>
      <c r="F5" s="65">
        <v>40513</v>
      </c>
      <c r="G5" s="66">
        <v>3.39</v>
      </c>
      <c r="H5" s="67">
        <v>17850</v>
      </c>
      <c r="I5" s="35" t="s">
        <v>21</v>
      </c>
      <c r="J5" s="68">
        <v>45920.517633912037</v>
      </c>
      <c r="K5" s="35">
        <v>20.34</v>
      </c>
      <c r="L5" s="35"/>
    </row>
    <row r="6" spans="1:12" x14ac:dyDescent="0.25">
      <c r="A6" s="52">
        <v>5</v>
      </c>
      <c r="B6" s="52">
        <v>536382</v>
      </c>
      <c r="C6" s="64" t="s">
        <v>27</v>
      </c>
      <c r="D6" s="52" t="s">
        <v>28</v>
      </c>
      <c r="E6" s="52">
        <v>5</v>
      </c>
      <c r="F6" s="65">
        <v>45924</v>
      </c>
      <c r="G6" s="66">
        <v>3.39</v>
      </c>
      <c r="H6" s="67">
        <v>17850</v>
      </c>
      <c r="I6" s="35" t="s">
        <v>21</v>
      </c>
      <c r="J6" s="68">
        <v>45920.517633912037</v>
      </c>
      <c r="K6" s="35">
        <v>16.95</v>
      </c>
      <c r="L6" s="35"/>
    </row>
    <row r="7" spans="1:12" x14ac:dyDescent="0.25">
      <c r="A7" s="52">
        <v>6</v>
      </c>
      <c r="B7" s="52">
        <v>536365</v>
      </c>
      <c r="C7" s="64">
        <v>22752</v>
      </c>
      <c r="D7" s="52" t="s">
        <v>29</v>
      </c>
      <c r="E7" s="52">
        <v>2</v>
      </c>
      <c r="F7" s="65">
        <v>40513</v>
      </c>
      <c r="G7" s="66">
        <v>7.65</v>
      </c>
      <c r="H7" s="67">
        <v>17850</v>
      </c>
      <c r="I7" s="35" t="s">
        <v>21</v>
      </c>
      <c r="J7" s="68">
        <v>45920.517633912037</v>
      </c>
      <c r="K7" s="35">
        <v>15.3</v>
      </c>
      <c r="L7" s="35"/>
    </row>
    <row r="8" spans="1:12" x14ac:dyDescent="0.25">
      <c r="A8" s="52">
        <v>7</v>
      </c>
      <c r="B8" s="52">
        <v>536365</v>
      </c>
      <c r="C8" s="64">
        <v>21730</v>
      </c>
      <c r="D8" s="52" t="s">
        <v>30</v>
      </c>
      <c r="E8" s="52">
        <v>6</v>
      </c>
      <c r="F8" s="65">
        <v>40513</v>
      </c>
      <c r="G8" s="66">
        <v>4.25</v>
      </c>
      <c r="H8" s="67">
        <v>17850</v>
      </c>
      <c r="I8" s="35" t="s">
        <v>21</v>
      </c>
      <c r="J8" s="68">
        <v>45920.517633912037</v>
      </c>
      <c r="K8" s="35">
        <v>25.5</v>
      </c>
      <c r="L8" s="35"/>
    </row>
    <row r="9" spans="1:12" x14ac:dyDescent="0.25">
      <c r="A9" s="52">
        <v>8</v>
      </c>
      <c r="B9" s="52">
        <v>536366</v>
      </c>
      <c r="C9" s="64">
        <v>22633</v>
      </c>
      <c r="D9" s="52" t="s">
        <v>31</v>
      </c>
      <c r="E9" s="52">
        <v>6</v>
      </c>
      <c r="F9" s="65">
        <v>40513</v>
      </c>
      <c r="G9" s="66">
        <v>1.85</v>
      </c>
      <c r="H9" s="67">
        <v>17850</v>
      </c>
      <c r="I9" s="35" t="s">
        <v>21</v>
      </c>
      <c r="J9" s="68">
        <v>45920.517633912037</v>
      </c>
      <c r="K9" s="35">
        <v>11.1</v>
      </c>
      <c r="L9" s="35"/>
    </row>
    <row r="10" spans="1:12" x14ac:dyDescent="0.25">
      <c r="A10" s="52">
        <v>9</v>
      </c>
      <c r="B10" s="52">
        <v>536366</v>
      </c>
      <c r="C10" s="64">
        <v>22632</v>
      </c>
      <c r="D10" s="52" t="s">
        <v>32</v>
      </c>
      <c r="E10" s="52">
        <v>6</v>
      </c>
      <c r="F10" s="65">
        <v>40513</v>
      </c>
      <c r="G10" s="66">
        <v>1.85</v>
      </c>
      <c r="H10" s="67">
        <v>17850</v>
      </c>
      <c r="I10" s="35" t="s">
        <v>21</v>
      </c>
      <c r="J10" s="68">
        <v>45920.517633912037</v>
      </c>
      <c r="K10" s="35">
        <v>11.1</v>
      </c>
      <c r="L10" s="35"/>
    </row>
    <row r="11" spans="1:12" x14ac:dyDescent="0.25">
      <c r="A11" s="52">
        <v>10</v>
      </c>
      <c r="B11" s="52">
        <v>536368</v>
      </c>
      <c r="C11" s="64">
        <v>22960</v>
      </c>
      <c r="D11" s="52" t="s">
        <v>33</v>
      </c>
      <c r="E11" s="52">
        <v>6</v>
      </c>
      <c r="F11" s="65">
        <v>40513</v>
      </c>
      <c r="G11" s="66">
        <v>4.25</v>
      </c>
      <c r="H11" s="67">
        <v>13047</v>
      </c>
      <c r="I11" s="35" t="s">
        <v>21</v>
      </c>
      <c r="J11" s="68">
        <v>45920.517633912037</v>
      </c>
      <c r="K11" s="35">
        <v>25.5</v>
      </c>
      <c r="L11" s="35"/>
    </row>
    <row r="12" spans="1:12" x14ac:dyDescent="0.25">
      <c r="A12" s="52">
        <v>11</v>
      </c>
      <c r="B12" s="52">
        <v>536368</v>
      </c>
      <c r="C12" s="64">
        <v>22913</v>
      </c>
      <c r="D12" s="52" t="s">
        <v>34</v>
      </c>
      <c r="E12" s="52">
        <v>3</v>
      </c>
      <c r="F12" s="65">
        <v>40513</v>
      </c>
      <c r="G12" s="66">
        <v>4.95</v>
      </c>
      <c r="H12" s="67">
        <v>13047</v>
      </c>
      <c r="I12" s="35" t="s">
        <v>21</v>
      </c>
      <c r="J12" s="68">
        <v>45920.517633912037</v>
      </c>
      <c r="K12" s="35">
        <v>14.85</v>
      </c>
      <c r="L12" s="35"/>
    </row>
    <row r="13" spans="1:12" x14ac:dyDescent="0.25">
      <c r="A13" s="52">
        <v>12</v>
      </c>
      <c r="B13" s="52">
        <v>536368</v>
      </c>
      <c r="C13" s="64">
        <v>22912</v>
      </c>
      <c r="D13" s="52" t="s">
        <v>35</v>
      </c>
      <c r="E13" s="52">
        <v>3</v>
      </c>
      <c r="F13" s="65">
        <v>40513</v>
      </c>
      <c r="G13" s="66">
        <v>4.95</v>
      </c>
      <c r="H13" s="67">
        <v>13047</v>
      </c>
      <c r="I13" s="35" t="s">
        <v>21</v>
      </c>
      <c r="J13" s="68">
        <v>45920.517633912037</v>
      </c>
      <c r="K13" s="35">
        <v>14.85</v>
      </c>
      <c r="L13" s="35"/>
    </row>
    <row r="14" spans="1:12" x14ac:dyDescent="0.25">
      <c r="A14" s="52">
        <v>13</v>
      </c>
      <c r="B14" s="52">
        <v>536368</v>
      </c>
      <c r="C14" s="64">
        <v>22914</v>
      </c>
      <c r="D14" s="52" t="s">
        <v>36</v>
      </c>
      <c r="E14" s="52">
        <v>3</v>
      </c>
      <c r="F14" s="65">
        <v>40513</v>
      </c>
      <c r="G14" s="66">
        <v>4.95</v>
      </c>
      <c r="H14" s="67">
        <v>13047</v>
      </c>
      <c r="I14" s="35" t="s">
        <v>21</v>
      </c>
      <c r="J14" s="68">
        <v>45920.517633912037</v>
      </c>
      <c r="K14" s="35">
        <v>14.85</v>
      </c>
      <c r="L14" s="35"/>
    </row>
    <row r="15" spans="1:12" x14ac:dyDescent="0.25">
      <c r="A15" s="52">
        <v>14</v>
      </c>
      <c r="B15" s="52">
        <v>536367</v>
      </c>
      <c r="C15" s="64">
        <v>84879</v>
      </c>
      <c r="D15" s="52" t="s">
        <v>37</v>
      </c>
      <c r="E15" s="52">
        <v>32</v>
      </c>
      <c r="F15" s="65">
        <v>40513</v>
      </c>
      <c r="G15" s="66">
        <v>1.69</v>
      </c>
      <c r="H15" s="67">
        <v>13047</v>
      </c>
      <c r="I15" s="35" t="s">
        <v>21</v>
      </c>
      <c r="J15" s="68">
        <v>45920.517633912037</v>
      </c>
      <c r="K15" s="35">
        <v>54.08</v>
      </c>
      <c r="L15" s="35"/>
    </row>
    <row r="16" spans="1:12" x14ac:dyDescent="0.25">
      <c r="A16" s="52">
        <v>15</v>
      </c>
      <c r="B16" s="52">
        <v>536367</v>
      </c>
      <c r="C16" s="64">
        <v>22745</v>
      </c>
      <c r="D16" s="52" t="s">
        <v>88</v>
      </c>
      <c r="E16" s="52">
        <v>6</v>
      </c>
      <c r="F16" s="65">
        <v>40513</v>
      </c>
      <c r="G16" s="66">
        <v>2.1</v>
      </c>
      <c r="H16" s="67">
        <v>13047</v>
      </c>
      <c r="I16" s="35" t="s">
        <v>21</v>
      </c>
      <c r="J16" s="68">
        <v>45920.517633912037</v>
      </c>
      <c r="K16" s="35">
        <v>12.6</v>
      </c>
      <c r="L16" s="35"/>
    </row>
    <row r="17" spans="1:12" x14ac:dyDescent="0.25">
      <c r="A17" s="52">
        <v>16</v>
      </c>
      <c r="B17" s="52">
        <v>536367</v>
      </c>
      <c r="C17" s="64">
        <v>22748</v>
      </c>
      <c r="D17" s="52" t="s">
        <v>38</v>
      </c>
      <c r="E17" s="52">
        <v>6</v>
      </c>
      <c r="F17" s="65">
        <v>40513</v>
      </c>
      <c r="G17" s="66">
        <v>2.1</v>
      </c>
      <c r="H17" s="67">
        <v>13047</v>
      </c>
      <c r="I17" s="35" t="s">
        <v>21</v>
      </c>
      <c r="J17" s="68">
        <v>45920.517633912037</v>
      </c>
      <c r="K17" s="35">
        <v>12.6</v>
      </c>
      <c r="L17" s="35"/>
    </row>
    <row r="18" spans="1:12" x14ac:dyDescent="0.25">
      <c r="A18" s="52">
        <v>17</v>
      </c>
      <c r="B18" s="52">
        <v>536367</v>
      </c>
      <c r="C18" s="64">
        <v>22749</v>
      </c>
      <c r="D18" s="52" t="s">
        <v>39</v>
      </c>
      <c r="E18" s="52">
        <v>8</v>
      </c>
      <c r="F18" s="65">
        <v>40513</v>
      </c>
      <c r="G18" s="66">
        <v>3.75</v>
      </c>
      <c r="H18" s="67">
        <v>13047</v>
      </c>
      <c r="I18" s="35" t="s">
        <v>21</v>
      </c>
      <c r="J18" s="68">
        <v>45920.517633912037</v>
      </c>
      <c r="K18" s="35">
        <v>30</v>
      </c>
      <c r="L18" s="35"/>
    </row>
    <row r="19" spans="1:12" x14ac:dyDescent="0.25">
      <c r="A19" s="52">
        <v>18</v>
      </c>
      <c r="B19" s="52">
        <v>536367</v>
      </c>
      <c r="C19" s="64">
        <v>22310</v>
      </c>
      <c r="D19" s="52" t="s">
        <v>89</v>
      </c>
      <c r="E19" s="52">
        <v>6</v>
      </c>
      <c r="F19" s="65">
        <v>40513</v>
      </c>
      <c r="G19" s="66">
        <v>1.65</v>
      </c>
      <c r="H19" s="67">
        <v>13047</v>
      </c>
      <c r="I19" s="35" t="s">
        <v>21</v>
      </c>
      <c r="J19" s="68">
        <v>45920.517633912037</v>
      </c>
      <c r="K19" s="35">
        <v>9.9</v>
      </c>
      <c r="L19" s="35"/>
    </row>
    <row r="20" spans="1:12" x14ac:dyDescent="0.25">
      <c r="A20" s="52">
        <v>19</v>
      </c>
      <c r="B20" s="52">
        <v>536367</v>
      </c>
      <c r="C20" s="64">
        <v>84969</v>
      </c>
      <c r="D20" s="52" t="s">
        <v>40</v>
      </c>
      <c r="E20" s="52">
        <v>6</v>
      </c>
      <c r="F20" s="65">
        <v>40513</v>
      </c>
      <c r="G20" s="66">
        <v>4.25</v>
      </c>
      <c r="H20" s="67">
        <v>13047</v>
      </c>
      <c r="I20" s="35" t="s">
        <v>21</v>
      </c>
      <c r="J20" s="68">
        <v>45920.517633912037</v>
      </c>
      <c r="K20" s="35">
        <v>25.5</v>
      </c>
      <c r="L20" s="35"/>
    </row>
    <row r="21" spans="1:12" x14ac:dyDescent="0.25">
      <c r="A21" s="52">
        <v>20</v>
      </c>
      <c r="B21" s="52">
        <v>536367</v>
      </c>
      <c r="C21" s="64">
        <v>22623</v>
      </c>
      <c r="D21" s="52" t="s">
        <v>90</v>
      </c>
      <c r="E21" s="52">
        <v>3</v>
      </c>
      <c r="F21" s="65">
        <v>40513</v>
      </c>
      <c r="G21" s="66">
        <v>4.95</v>
      </c>
      <c r="H21" s="67">
        <v>13047</v>
      </c>
      <c r="I21" s="35" t="s">
        <v>21</v>
      </c>
      <c r="J21" s="68">
        <v>45920.517633912037</v>
      </c>
      <c r="K21" s="35">
        <v>14.85</v>
      </c>
      <c r="L21" s="35"/>
    </row>
    <row r="22" spans="1:12" x14ac:dyDescent="0.25">
      <c r="A22" s="52">
        <v>21</v>
      </c>
      <c r="B22" s="52">
        <v>536367</v>
      </c>
      <c r="C22" s="64">
        <v>22622</v>
      </c>
      <c r="D22" s="52" t="s">
        <v>41</v>
      </c>
      <c r="E22" s="52">
        <v>2</v>
      </c>
      <c r="F22" s="65">
        <v>40513</v>
      </c>
      <c r="G22" s="66">
        <v>9.9499999999999993</v>
      </c>
      <c r="H22" s="67">
        <v>13047</v>
      </c>
      <c r="I22" s="35" t="s">
        <v>21</v>
      </c>
      <c r="J22" s="68">
        <v>45920.517633912037</v>
      </c>
      <c r="K22" s="35">
        <v>19.899999999999999</v>
      </c>
      <c r="L22" s="35"/>
    </row>
    <row r="23" spans="1:12" x14ac:dyDescent="0.25">
      <c r="A23" s="52">
        <v>22</v>
      </c>
      <c r="B23" s="52">
        <v>536367</v>
      </c>
      <c r="C23" s="64">
        <v>21754</v>
      </c>
      <c r="D23" s="52" t="s">
        <v>42</v>
      </c>
      <c r="E23" s="52">
        <v>3</v>
      </c>
      <c r="F23" s="65">
        <v>40513</v>
      </c>
      <c r="G23" s="66">
        <v>5.95</v>
      </c>
      <c r="H23" s="67">
        <v>13047</v>
      </c>
      <c r="I23" s="35" t="s">
        <v>21</v>
      </c>
      <c r="J23" s="68">
        <v>45920.517633912037</v>
      </c>
      <c r="K23" s="35">
        <v>17.850000000000001</v>
      </c>
      <c r="L23" s="35"/>
    </row>
    <row r="24" spans="1:12" x14ac:dyDescent="0.25">
      <c r="A24" s="52">
        <v>23</v>
      </c>
      <c r="B24" s="52">
        <v>536367</v>
      </c>
      <c r="C24" s="64">
        <v>21755</v>
      </c>
      <c r="D24" s="52" t="s">
        <v>43</v>
      </c>
      <c r="E24" s="52">
        <v>3</v>
      </c>
      <c r="F24" s="65">
        <v>40513</v>
      </c>
      <c r="G24" s="66">
        <v>5.95</v>
      </c>
      <c r="H24" s="67">
        <v>13047</v>
      </c>
      <c r="I24" s="35" t="s">
        <v>21</v>
      </c>
      <c r="J24" s="68">
        <v>45920.517633912037</v>
      </c>
      <c r="K24" s="35">
        <v>17.850000000000001</v>
      </c>
      <c r="L24" s="35"/>
    </row>
    <row r="25" spans="1:12" x14ac:dyDescent="0.25">
      <c r="A25" s="52">
        <v>24</v>
      </c>
      <c r="B25" s="52">
        <v>536367</v>
      </c>
      <c r="C25" s="64">
        <v>21777</v>
      </c>
      <c r="D25" s="52" t="s">
        <v>44</v>
      </c>
      <c r="E25" s="52">
        <v>4</v>
      </c>
      <c r="F25" s="65">
        <v>40513</v>
      </c>
      <c r="G25" s="66">
        <v>7.95</v>
      </c>
      <c r="H25" s="67">
        <v>13047</v>
      </c>
      <c r="I25" s="35" t="s">
        <v>21</v>
      </c>
      <c r="J25" s="68">
        <v>45920.517633912037</v>
      </c>
      <c r="K25" s="35">
        <v>31.8</v>
      </c>
      <c r="L25" s="35"/>
    </row>
    <row r="26" spans="1:12" x14ac:dyDescent="0.25">
      <c r="A26" s="52">
        <v>25</v>
      </c>
      <c r="B26" s="52">
        <v>536367</v>
      </c>
      <c r="C26" s="64">
        <v>48187</v>
      </c>
      <c r="D26" s="52" t="s">
        <v>45</v>
      </c>
      <c r="E26" s="52">
        <v>4</v>
      </c>
      <c r="F26" s="65">
        <v>40513</v>
      </c>
      <c r="G26" s="66">
        <v>7.95</v>
      </c>
      <c r="H26" s="67">
        <v>13047</v>
      </c>
      <c r="I26" s="35" t="s">
        <v>21</v>
      </c>
      <c r="J26" s="68">
        <v>45920.517633912037</v>
      </c>
      <c r="K26" s="35">
        <v>31.8</v>
      </c>
      <c r="L26" s="35"/>
    </row>
    <row r="27" spans="1:12" x14ac:dyDescent="0.25">
      <c r="A27" s="52">
        <v>26</v>
      </c>
      <c r="B27" s="52">
        <v>536369</v>
      </c>
      <c r="C27" s="64">
        <v>21756</v>
      </c>
      <c r="D27" s="52" t="s">
        <v>46</v>
      </c>
      <c r="E27" s="52">
        <v>3</v>
      </c>
      <c r="F27" s="65">
        <v>40513</v>
      </c>
      <c r="G27" s="66">
        <v>5.95</v>
      </c>
      <c r="H27" s="67">
        <v>13047</v>
      </c>
      <c r="I27" s="35" t="s">
        <v>21</v>
      </c>
      <c r="J27" s="68">
        <v>45920.517633912037</v>
      </c>
      <c r="K27" s="35">
        <v>17.850000000000001</v>
      </c>
      <c r="L27" s="35"/>
    </row>
    <row r="28" spans="1:12" x14ac:dyDescent="0.25">
      <c r="A28" s="52">
        <v>27</v>
      </c>
      <c r="B28" s="52">
        <v>536370</v>
      </c>
      <c r="C28" s="64">
        <v>22728</v>
      </c>
      <c r="D28" s="52" t="s">
        <v>47</v>
      </c>
      <c r="E28" s="52">
        <v>24</v>
      </c>
      <c r="F28" s="65">
        <v>40513</v>
      </c>
      <c r="G28" s="66">
        <v>3.75</v>
      </c>
      <c r="H28" s="67">
        <v>12583</v>
      </c>
      <c r="I28" s="35" t="s">
        <v>48</v>
      </c>
      <c r="J28" s="68">
        <v>45920.517633912037</v>
      </c>
      <c r="K28" s="35">
        <v>90</v>
      </c>
      <c r="L28" s="35"/>
    </row>
    <row r="29" spans="1:12" x14ac:dyDescent="0.25">
      <c r="A29" s="52">
        <v>28</v>
      </c>
      <c r="B29" s="52">
        <v>536370</v>
      </c>
      <c r="C29" s="64">
        <v>22727</v>
      </c>
      <c r="D29" s="52" t="s">
        <v>91</v>
      </c>
      <c r="E29" s="52">
        <v>24</v>
      </c>
      <c r="F29" s="65">
        <v>40513</v>
      </c>
      <c r="G29" s="66">
        <v>3.75</v>
      </c>
      <c r="H29" s="67">
        <v>12583</v>
      </c>
      <c r="I29" s="35" t="s">
        <v>48</v>
      </c>
      <c r="J29" s="68">
        <v>45920.517633912037</v>
      </c>
      <c r="K29" s="35">
        <v>90</v>
      </c>
      <c r="L29" s="35"/>
    </row>
    <row r="30" spans="1:12" x14ac:dyDescent="0.25">
      <c r="A30" s="52">
        <v>29</v>
      </c>
      <c r="B30" s="52">
        <v>536370</v>
      </c>
      <c r="C30" s="64">
        <v>22726</v>
      </c>
      <c r="D30" s="52" t="s">
        <v>49</v>
      </c>
      <c r="E30" s="52">
        <v>12</v>
      </c>
      <c r="F30" s="65">
        <v>40513</v>
      </c>
      <c r="G30" s="66">
        <v>3.75</v>
      </c>
      <c r="H30" s="67">
        <v>12583</v>
      </c>
      <c r="I30" s="35" t="s">
        <v>48</v>
      </c>
      <c r="J30" s="68">
        <v>45920.517633912037</v>
      </c>
      <c r="K30" s="35">
        <v>45</v>
      </c>
      <c r="L30" s="35"/>
    </row>
    <row r="31" spans="1:12" x14ac:dyDescent="0.25">
      <c r="A31" s="52">
        <v>30</v>
      </c>
      <c r="B31" s="52">
        <v>536370</v>
      </c>
      <c r="C31" s="64">
        <v>21724</v>
      </c>
      <c r="D31" s="52" t="s">
        <v>50</v>
      </c>
      <c r="E31" s="52">
        <v>12</v>
      </c>
      <c r="F31" s="65">
        <v>40513</v>
      </c>
      <c r="G31" s="66">
        <v>0.85</v>
      </c>
      <c r="H31" s="67">
        <v>12583</v>
      </c>
      <c r="I31" s="35" t="s">
        <v>48</v>
      </c>
      <c r="J31" s="68">
        <v>45920.517633912037</v>
      </c>
      <c r="K31" s="35">
        <v>10.199999999999999</v>
      </c>
      <c r="L31" s="35"/>
    </row>
    <row r="32" spans="1:12" x14ac:dyDescent="0.25">
      <c r="A32" s="52">
        <v>31</v>
      </c>
      <c r="B32" s="52">
        <v>536370</v>
      </c>
      <c r="C32" s="64">
        <v>21883</v>
      </c>
      <c r="D32" s="52" t="s">
        <v>92</v>
      </c>
      <c r="E32" s="52">
        <v>24</v>
      </c>
      <c r="F32" s="65">
        <v>40513</v>
      </c>
      <c r="G32" s="66">
        <v>0.65</v>
      </c>
      <c r="H32" s="67">
        <v>12583</v>
      </c>
      <c r="I32" s="35" t="s">
        <v>48</v>
      </c>
      <c r="J32" s="68">
        <v>45920.517633912037</v>
      </c>
      <c r="K32" s="35">
        <v>15.6</v>
      </c>
      <c r="L32" s="35"/>
    </row>
    <row r="33" spans="1:12" x14ac:dyDescent="0.25">
      <c r="A33" s="52">
        <v>32</v>
      </c>
      <c r="B33" s="52">
        <v>536370</v>
      </c>
      <c r="C33" s="64">
        <v>10002</v>
      </c>
      <c r="D33" s="52" t="s">
        <v>93</v>
      </c>
      <c r="E33" s="52">
        <v>48</v>
      </c>
      <c r="F33" s="65">
        <v>40513</v>
      </c>
      <c r="G33" s="66">
        <v>0.85</v>
      </c>
      <c r="H33" s="67">
        <v>12583</v>
      </c>
      <c r="I33" s="35" t="s">
        <v>48</v>
      </c>
      <c r="J33" s="68">
        <v>45920.517633912037</v>
      </c>
      <c r="K33" s="35">
        <v>40.799999999999997</v>
      </c>
      <c r="L33" s="35"/>
    </row>
    <row r="34" spans="1:12" x14ac:dyDescent="0.25">
      <c r="A34" s="52">
        <v>33</v>
      </c>
      <c r="B34" s="52">
        <v>536370</v>
      </c>
      <c r="C34" s="64">
        <v>21791</v>
      </c>
      <c r="D34" s="52" t="s">
        <v>94</v>
      </c>
      <c r="E34" s="52">
        <v>24</v>
      </c>
      <c r="F34" s="65">
        <v>40513</v>
      </c>
      <c r="G34" s="66">
        <v>1.25</v>
      </c>
      <c r="H34" s="67">
        <v>12583</v>
      </c>
      <c r="I34" s="35" t="s">
        <v>48</v>
      </c>
      <c r="J34" s="68">
        <v>45920.517633912037</v>
      </c>
      <c r="K34" s="35">
        <v>30</v>
      </c>
      <c r="L34" s="35"/>
    </row>
    <row r="35" spans="1:12" x14ac:dyDescent="0.25">
      <c r="A35" s="52">
        <v>34</v>
      </c>
      <c r="B35" s="52">
        <v>536370</v>
      </c>
      <c r="C35" s="64">
        <v>21035</v>
      </c>
      <c r="D35" s="52" t="s">
        <v>95</v>
      </c>
      <c r="E35" s="52">
        <v>18</v>
      </c>
      <c r="F35" s="65">
        <v>40513</v>
      </c>
      <c r="G35" s="66">
        <v>2.95</v>
      </c>
      <c r="H35" s="67">
        <v>12583</v>
      </c>
      <c r="I35" s="35" t="s">
        <v>48</v>
      </c>
      <c r="J35" s="68">
        <v>45920.517633912037</v>
      </c>
      <c r="K35" s="35">
        <v>53.1</v>
      </c>
      <c r="L35" s="35"/>
    </row>
    <row r="36" spans="1:12" x14ac:dyDescent="0.25">
      <c r="A36" s="52">
        <v>35</v>
      </c>
      <c r="B36" s="52">
        <v>536370</v>
      </c>
      <c r="C36" s="64">
        <v>22326</v>
      </c>
      <c r="D36" s="52" t="s">
        <v>96</v>
      </c>
      <c r="E36" s="52">
        <v>24</v>
      </c>
      <c r="F36" s="65">
        <v>40513</v>
      </c>
      <c r="G36" s="66">
        <v>2.95</v>
      </c>
      <c r="H36" s="67">
        <v>12583</v>
      </c>
      <c r="I36" s="35" t="s">
        <v>48</v>
      </c>
      <c r="J36" s="68">
        <v>45920.517633912037</v>
      </c>
      <c r="K36" s="35">
        <v>70.8</v>
      </c>
      <c r="L36" s="35"/>
    </row>
    <row r="37" spans="1:12" x14ac:dyDescent="0.25">
      <c r="A37" s="52">
        <v>36</v>
      </c>
      <c r="B37" s="52">
        <v>536370</v>
      </c>
      <c r="C37" s="64">
        <v>22629</v>
      </c>
      <c r="D37" s="52" t="s">
        <v>97</v>
      </c>
      <c r="E37" s="52">
        <v>24</v>
      </c>
      <c r="F37" s="65">
        <v>40513</v>
      </c>
      <c r="G37" s="66">
        <v>1.95</v>
      </c>
      <c r="H37" s="67">
        <v>12583</v>
      </c>
      <c r="I37" s="35" t="s">
        <v>48</v>
      </c>
      <c r="J37" s="68">
        <v>45920.517633912037</v>
      </c>
      <c r="K37" s="35">
        <v>46.8</v>
      </c>
      <c r="L37" s="35"/>
    </row>
    <row r="38" spans="1:12" x14ac:dyDescent="0.25">
      <c r="A38" s="52">
        <v>37</v>
      </c>
      <c r="B38" s="52">
        <v>536370</v>
      </c>
      <c r="C38" s="64">
        <v>22659</v>
      </c>
      <c r="D38" s="52" t="s">
        <v>51</v>
      </c>
      <c r="E38" s="52">
        <v>24</v>
      </c>
      <c r="F38" s="65">
        <v>40513</v>
      </c>
      <c r="G38" s="66">
        <v>1.95</v>
      </c>
      <c r="H38" s="67">
        <v>12583</v>
      </c>
      <c r="I38" s="35" t="s">
        <v>48</v>
      </c>
      <c r="J38" s="68">
        <v>45920.517633912037</v>
      </c>
      <c r="K38" s="35">
        <v>46.8</v>
      </c>
      <c r="L38" s="35"/>
    </row>
    <row r="39" spans="1:12" x14ac:dyDescent="0.25">
      <c r="A39" s="52">
        <v>38</v>
      </c>
      <c r="B39" s="52">
        <v>536370</v>
      </c>
      <c r="C39" s="64">
        <v>22631</v>
      </c>
      <c r="D39" s="52" t="s">
        <v>98</v>
      </c>
      <c r="E39" s="52">
        <v>24</v>
      </c>
      <c r="F39" s="65">
        <v>40513</v>
      </c>
      <c r="G39" s="66">
        <v>1.95</v>
      </c>
      <c r="H39" s="67">
        <v>12583</v>
      </c>
      <c r="I39" s="35" t="s">
        <v>48</v>
      </c>
      <c r="J39" s="68">
        <v>45920.517633912037</v>
      </c>
      <c r="K39" s="35">
        <v>46.8</v>
      </c>
      <c r="L39" s="35"/>
    </row>
    <row r="40" spans="1:12" x14ac:dyDescent="0.25">
      <c r="A40" s="52">
        <v>39</v>
      </c>
      <c r="B40" s="52">
        <v>536370</v>
      </c>
      <c r="C40" s="64">
        <v>22661</v>
      </c>
      <c r="D40" s="52" t="s">
        <v>52</v>
      </c>
      <c r="E40" s="52">
        <v>20</v>
      </c>
      <c r="F40" s="65">
        <v>40513</v>
      </c>
      <c r="G40" s="66">
        <v>0.85</v>
      </c>
      <c r="H40" s="67">
        <v>12583</v>
      </c>
      <c r="I40" s="35" t="s">
        <v>48</v>
      </c>
      <c r="J40" s="68">
        <v>45920.517633912037</v>
      </c>
      <c r="K40" s="35">
        <v>17</v>
      </c>
      <c r="L40" s="35"/>
    </row>
    <row r="41" spans="1:12" x14ac:dyDescent="0.25">
      <c r="A41" s="52">
        <v>40</v>
      </c>
      <c r="B41" s="52">
        <v>536370</v>
      </c>
      <c r="C41" s="64">
        <v>21731</v>
      </c>
      <c r="D41" s="52" t="s">
        <v>53</v>
      </c>
      <c r="E41" s="52">
        <v>24</v>
      </c>
      <c r="F41" s="65">
        <v>40513</v>
      </c>
      <c r="G41" s="66">
        <v>1.65</v>
      </c>
      <c r="H41" s="67">
        <v>12583</v>
      </c>
      <c r="I41" s="35" t="s">
        <v>48</v>
      </c>
      <c r="J41" s="68">
        <v>45920.517633912037</v>
      </c>
      <c r="K41" s="35">
        <v>39.6</v>
      </c>
      <c r="L41" s="35"/>
    </row>
    <row r="42" spans="1:12" x14ac:dyDescent="0.25">
      <c r="A42" s="52">
        <v>41</v>
      </c>
      <c r="B42" s="52">
        <v>536370</v>
      </c>
      <c r="C42" s="64">
        <v>22900</v>
      </c>
      <c r="D42" s="52" t="s">
        <v>99</v>
      </c>
      <c r="E42" s="52">
        <v>24</v>
      </c>
      <c r="F42" s="65">
        <v>40513</v>
      </c>
      <c r="G42" s="66">
        <v>2.95</v>
      </c>
      <c r="H42" s="67">
        <v>12583</v>
      </c>
      <c r="I42" s="35" t="s">
        <v>48</v>
      </c>
      <c r="J42" s="68">
        <v>45920.517633912037</v>
      </c>
      <c r="K42" s="35">
        <v>70.8</v>
      </c>
      <c r="L42" s="35"/>
    </row>
    <row r="43" spans="1:12" x14ac:dyDescent="0.25">
      <c r="A43" s="52">
        <v>42</v>
      </c>
      <c r="B43" s="52">
        <v>536370</v>
      </c>
      <c r="C43" s="64">
        <v>21913</v>
      </c>
      <c r="D43" s="52" t="s">
        <v>54</v>
      </c>
      <c r="E43" s="52">
        <v>12</v>
      </c>
      <c r="F43" s="65">
        <v>40513</v>
      </c>
      <c r="G43" s="66">
        <v>3.75</v>
      </c>
      <c r="H43" s="67">
        <v>12583</v>
      </c>
      <c r="I43" s="35" t="s">
        <v>48</v>
      </c>
      <c r="J43" s="68">
        <v>45920.517633912037</v>
      </c>
      <c r="K43" s="35">
        <v>45</v>
      </c>
      <c r="L43" s="35"/>
    </row>
    <row r="44" spans="1:12" x14ac:dyDescent="0.25">
      <c r="A44" s="52">
        <v>43</v>
      </c>
      <c r="B44" s="52">
        <v>536370</v>
      </c>
      <c r="C44" s="64">
        <v>22540</v>
      </c>
      <c r="D44" s="52" t="s">
        <v>100</v>
      </c>
      <c r="E44" s="52">
        <v>24</v>
      </c>
      <c r="F44" s="65">
        <v>40513</v>
      </c>
      <c r="G44" s="66">
        <v>0.42</v>
      </c>
      <c r="H44" s="67">
        <v>12583</v>
      </c>
      <c r="I44" s="35" t="s">
        <v>48</v>
      </c>
      <c r="J44" s="68">
        <v>45920.517633912037</v>
      </c>
      <c r="K44" s="35">
        <v>10.08</v>
      </c>
      <c r="L44" s="35"/>
    </row>
    <row r="45" spans="1:12" x14ac:dyDescent="0.25">
      <c r="A45" s="52">
        <v>44</v>
      </c>
      <c r="B45" s="52">
        <v>536370</v>
      </c>
      <c r="C45" s="64">
        <v>22544</v>
      </c>
      <c r="D45" s="52" t="s">
        <v>55</v>
      </c>
      <c r="E45" s="52">
        <v>24</v>
      </c>
      <c r="F45" s="65">
        <v>40513</v>
      </c>
      <c r="G45" s="66">
        <v>0.42</v>
      </c>
      <c r="H45" s="67">
        <v>12583</v>
      </c>
      <c r="I45" s="35" t="s">
        <v>48</v>
      </c>
      <c r="J45" s="68">
        <v>45920.517633912037</v>
      </c>
      <c r="K45" s="35">
        <v>10.08</v>
      </c>
      <c r="L45" s="35"/>
    </row>
    <row r="46" spans="1:12" x14ac:dyDescent="0.25">
      <c r="A46" s="52">
        <v>45</v>
      </c>
      <c r="B46" s="52">
        <v>536370</v>
      </c>
      <c r="C46" s="64">
        <v>22492</v>
      </c>
      <c r="D46" s="52" t="s">
        <v>101</v>
      </c>
      <c r="E46" s="52">
        <v>36</v>
      </c>
      <c r="F46" s="65">
        <v>40513</v>
      </c>
      <c r="G46" s="66">
        <v>0.65</v>
      </c>
      <c r="H46" s="67">
        <v>12583</v>
      </c>
      <c r="I46" s="35" t="s">
        <v>48</v>
      </c>
      <c r="J46" s="68">
        <v>45920.517633912037</v>
      </c>
      <c r="K46" s="35">
        <v>23.4</v>
      </c>
      <c r="L46" s="35"/>
    </row>
    <row r="47" spans="1:12" x14ac:dyDescent="0.25">
      <c r="A47" s="52">
        <v>46</v>
      </c>
      <c r="B47" s="52">
        <v>536370</v>
      </c>
      <c r="C47" s="64" t="s">
        <v>56</v>
      </c>
      <c r="D47" s="52" t="s">
        <v>57</v>
      </c>
      <c r="E47" s="52">
        <v>3</v>
      </c>
      <c r="F47" s="65">
        <v>40513</v>
      </c>
      <c r="G47" s="66">
        <v>18</v>
      </c>
      <c r="H47" s="67">
        <v>12583</v>
      </c>
      <c r="I47" s="35" t="s">
        <v>48</v>
      </c>
      <c r="J47" s="68">
        <v>45920.517633912037</v>
      </c>
      <c r="K47" s="35">
        <v>54</v>
      </c>
      <c r="L47" s="35"/>
    </row>
    <row r="48" spans="1:12" x14ac:dyDescent="0.25">
      <c r="A48" s="52">
        <v>47</v>
      </c>
      <c r="B48" s="52">
        <v>536371</v>
      </c>
      <c r="C48" s="64">
        <v>22086</v>
      </c>
      <c r="D48" s="52" t="s">
        <v>102</v>
      </c>
      <c r="E48" s="52">
        <v>80</v>
      </c>
      <c r="F48" s="65">
        <v>40513</v>
      </c>
      <c r="G48" s="66">
        <v>2.5499999999999998</v>
      </c>
      <c r="H48" s="67">
        <v>13748</v>
      </c>
      <c r="I48" s="35" t="s">
        <v>21</v>
      </c>
      <c r="J48" s="68">
        <v>45920.517633912037</v>
      </c>
      <c r="K48" s="35">
        <v>204</v>
      </c>
      <c r="L48" s="35"/>
    </row>
    <row r="49" spans="1:12" x14ac:dyDescent="0.25">
      <c r="A49" s="52">
        <v>48</v>
      </c>
      <c r="B49" s="52">
        <v>536372</v>
      </c>
      <c r="C49" s="64">
        <v>22632</v>
      </c>
      <c r="D49" s="52" t="s">
        <v>32</v>
      </c>
      <c r="E49" s="52">
        <v>6</v>
      </c>
      <c r="F49" s="65">
        <v>40513</v>
      </c>
      <c r="G49" s="66">
        <v>1.85</v>
      </c>
      <c r="H49" s="67">
        <v>17850</v>
      </c>
      <c r="I49" s="35" t="s">
        <v>21</v>
      </c>
      <c r="J49" s="68">
        <v>45920.517633912037</v>
      </c>
      <c r="K49" s="35">
        <v>11.1</v>
      </c>
      <c r="L49" s="35"/>
    </row>
    <row r="50" spans="1:12" x14ac:dyDescent="0.25">
      <c r="A50" s="52">
        <v>49</v>
      </c>
      <c r="B50" s="52">
        <v>536372</v>
      </c>
      <c r="C50" s="64">
        <v>22633</v>
      </c>
      <c r="D50" s="52" t="s">
        <v>31</v>
      </c>
      <c r="E50" s="52">
        <v>6</v>
      </c>
      <c r="F50" s="65">
        <v>40513</v>
      </c>
      <c r="G50" s="66">
        <v>1.85</v>
      </c>
      <c r="H50" s="67">
        <v>17850</v>
      </c>
      <c r="I50" s="35" t="s">
        <v>21</v>
      </c>
      <c r="J50" s="68">
        <v>45920.517633912037</v>
      </c>
      <c r="K50" s="35">
        <v>11.1</v>
      </c>
      <c r="L50" s="35"/>
    </row>
    <row r="51" spans="1:12" x14ac:dyDescent="0.25">
      <c r="A51" s="52">
        <v>50</v>
      </c>
      <c r="B51" s="52">
        <v>536373</v>
      </c>
      <c r="C51" s="64" t="s">
        <v>19</v>
      </c>
      <c r="D51" s="52" t="s">
        <v>20</v>
      </c>
      <c r="E51" s="52">
        <v>6</v>
      </c>
      <c r="F51" s="65">
        <v>40513</v>
      </c>
      <c r="G51" s="66">
        <v>2.5499999999999998</v>
      </c>
      <c r="H51" s="67">
        <v>17850</v>
      </c>
      <c r="I51" s="35" t="s">
        <v>21</v>
      </c>
      <c r="J51" s="68">
        <v>45920.517633912037</v>
      </c>
      <c r="K51" s="35">
        <v>15.3</v>
      </c>
      <c r="L51" s="35"/>
    </row>
    <row r="52" spans="1:12" x14ac:dyDescent="0.25">
      <c r="A52" s="52">
        <v>51</v>
      </c>
      <c r="B52" s="52">
        <v>536373</v>
      </c>
      <c r="C52" s="64">
        <v>71053</v>
      </c>
      <c r="D52" s="52" t="s">
        <v>22</v>
      </c>
      <c r="E52" s="52">
        <v>6</v>
      </c>
      <c r="F52" s="65">
        <v>40513</v>
      </c>
      <c r="G52" s="66">
        <v>3.39</v>
      </c>
      <c r="H52" s="67">
        <v>17850</v>
      </c>
      <c r="I52" s="35" t="s">
        <v>21</v>
      </c>
      <c r="J52" s="68">
        <v>45920.517633912037</v>
      </c>
      <c r="K52" s="35">
        <v>20.34</v>
      </c>
      <c r="L52" s="35"/>
    </row>
    <row r="53" spans="1:12" x14ac:dyDescent="0.25">
      <c r="A53" s="52">
        <v>52</v>
      </c>
      <c r="B53" s="52">
        <v>536373</v>
      </c>
      <c r="C53" s="64" t="s">
        <v>23</v>
      </c>
      <c r="D53" s="52" t="s">
        <v>24</v>
      </c>
      <c r="E53" s="52">
        <v>8</v>
      </c>
      <c r="F53" s="65">
        <v>40513</v>
      </c>
      <c r="G53" s="66">
        <v>2.75</v>
      </c>
      <c r="H53" s="67">
        <v>17850</v>
      </c>
      <c r="I53" s="35" t="s">
        <v>21</v>
      </c>
      <c r="J53" s="68">
        <v>45920.517633912037</v>
      </c>
      <c r="K53" s="35">
        <v>22</v>
      </c>
      <c r="L53" s="35"/>
    </row>
    <row r="54" spans="1:12" x14ac:dyDescent="0.25">
      <c r="A54" s="52">
        <v>53</v>
      </c>
      <c r="B54" s="52">
        <v>536373</v>
      </c>
      <c r="C54" s="64">
        <v>20679</v>
      </c>
      <c r="D54" s="52" t="s">
        <v>58</v>
      </c>
      <c r="E54" s="52">
        <v>6</v>
      </c>
      <c r="F54" s="65">
        <v>40513</v>
      </c>
      <c r="G54" s="66">
        <v>4.95</v>
      </c>
      <c r="H54" s="67">
        <v>17850</v>
      </c>
      <c r="I54" s="35" t="s">
        <v>21</v>
      </c>
      <c r="J54" s="68">
        <v>45920.517633912037</v>
      </c>
      <c r="K54" s="35">
        <v>29.7</v>
      </c>
      <c r="L54" s="35"/>
    </row>
    <row r="55" spans="1:12" x14ac:dyDescent="0.25">
      <c r="A55" s="52">
        <v>54</v>
      </c>
      <c r="B55" s="52">
        <v>536373</v>
      </c>
      <c r="C55" s="64">
        <v>37370</v>
      </c>
      <c r="D55" s="52" t="s">
        <v>59</v>
      </c>
      <c r="E55" s="52">
        <v>6</v>
      </c>
      <c r="F55" s="65">
        <v>40513</v>
      </c>
      <c r="G55" s="66">
        <v>1.06</v>
      </c>
      <c r="H55" s="67">
        <v>17850</v>
      </c>
      <c r="I55" s="35" t="s">
        <v>21</v>
      </c>
      <c r="J55" s="68">
        <v>45920.517633912037</v>
      </c>
      <c r="K55" s="35">
        <v>6.36</v>
      </c>
      <c r="L55" s="35"/>
    </row>
    <row r="56" spans="1:12" x14ac:dyDescent="0.25">
      <c r="A56" s="52">
        <v>55</v>
      </c>
      <c r="B56" s="52">
        <v>536373</v>
      </c>
      <c r="C56" s="64">
        <v>21871</v>
      </c>
      <c r="D56" s="52" t="s">
        <v>60</v>
      </c>
      <c r="E56" s="52">
        <v>6</v>
      </c>
      <c r="F56" s="65">
        <v>40513</v>
      </c>
      <c r="G56" s="66">
        <v>1.06</v>
      </c>
      <c r="H56" s="67">
        <v>17850</v>
      </c>
      <c r="I56" s="35" t="s">
        <v>21</v>
      </c>
      <c r="J56" s="68">
        <v>45920.517633912037</v>
      </c>
      <c r="K56" s="35">
        <v>6.36</v>
      </c>
      <c r="L56" s="35"/>
    </row>
    <row r="57" spans="1:12" x14ac:dyDescent="0.25">
      <c r="A57" s="52">
        <v>56</v>
      </c>
      <c r="B57" s="52">
        <v>536373</v>
      </c>
      <c r="C57" s="64">
        <v>21071</v>
      </c>
      <c r="D57" s="52" t="s">
        <v>61</v>
      </c>
      <c r="E57" s="52">
        <v>6</v>
      </c>
      <c r="F57" s="65">
        <v>40513</v>
      </c>
      <c r="G57" s="66">
        <v>1.06</v>
      </c>
      <c r="H57" s="67">
        <v>17850</v>
      </c>
      <c r="I57" s="35" t="s">
        <v>21</v>
      </c>
      <c r="J57" s="68">
        <v>45920.517633912037</v>
      </c>
      <c r="K57" s="35">
        <v>6.36</v>
      </c>
      <c r="L57" s="35"/>
    </row>
    <row r="58" spans="1:12" x14ac:dyDescent="0.25">
      <c r="A58" s="52">
        <v>57</v>
      </c>
      <c r="B58" s="52">
        <v>536373</v>
      </c>
      <c r="C58" s="64">
        <v>21068</v>
      </c>
      <c r="D58" s="52" t="s">
        <v>62</v>
      </c>
      <c r="E58" s="52">
        <v>6</v>
      </c>
      <c r="F58" s="65">
        <v>40513</v>
      </c>
      <c r="G58" s="66">
        <v>1.06</v>
      </c>
      <c r="H58" s="67">
        <v>17850</v>
      </c>
      <c r="I58" s="35" t="s">
        <v>21</v>
      </c>
      <c r="J58" s="68">
        <v>45920.517633912037</v>
      </c>
      <c r="K58" s="35">
        <v>6.36</v>
      </c>
      <c r="L58" s="35"/>
    </row>
    <row r="59" spans="1:12" x14ac:dyDescent="0.25">
      <c r="A59" s="52">
        <v>58</v>
      </c>
      <c r="B59" s="52">
        <v>536373</v>
      </c>
      <c r="C59" s="64">
        <v>82483</v>
      </c>
      <c r="D59" s="52" t="s">
        <v>63</v>
      </c>
      <c r="E59" s="52">
        <v>2</v>
      </c>
      <c r="F59" s="65">
        <v>40513</v>
      </c>
      <c r="G59" s="66">
        <v>4.95</v>
      </c>
      <c r="H59" s="67">
        <v>17850</v>
      </c>
      <c r="I59" s="35" t="s">
        <v>21</v>
      </c>
      <c r="J59" s="68">
        <v>45920.517633912037</v>
      </c>
      <c r="K59" s="35">
        <v>9.9</v>
      </c>
      <c r="L59" s="35"/>
    </row>
    <row r="60" spans="1:12" x14ac:dyDescent="0.25">
      <c r="A60" s="52">
        <v>59</v>
      </c>
      <c r="B60" s="52">
        <v>536373</v>
      </c>
      <c r="C60" s="64">
        <v>82486</v>
      </c>
      <c r="D60" s="52" t="s">
        <v>64</v>
      </c>
      <c r="E60" s="52">
        <v>4</v>
      </c>
      <c r="F60" s="65">
        <v>40513</v>
      </c>
      <c r="G60" s="66">
        <v>6.95</v>
      </c>
      <c r="H60" s="67">
        <v>17850</v>
      </c>
      <c r="I60" s="35" t="s">
        <v>21</v>
      </c>
      <c r="J60" s="68">
        <v>45920.517633912037</v>
      </c>
      <c r="K60" s="35">
        <v>27.8</v>
      </c>
      <c r="L60" s="35"/>
    </row>
    <row r="61" spans="1:12" x14ac:dyDescent="0.25">
      <c r="A61" s="52">
        <v>60</v>
      </c>
      <c r="B61" s="52">
        <v>536373</v>
      </c>
      <c r="C61" s="64">
        <v>82482</v>
      </c>
      <c r="D61" s="52" t="s">
        <v>65</v>
      </c>
      <c r="E61" s="52">
        <v>6</v>
      </c>
      <c r="F61" s="65">
        <v>40513</v>
      </c>
      <c r="G61" s="66">
        <v>2.1</v>
      </c>
      <c r="H61" s="67">
        <v>17850</v>
      </c>
      <c r="I61" s="35" t="s">
        <v>21</v>
      </c>
      <c r="J61" s="68">
        <v>45920.517633912037</v>
      </c>
      <c r="K61" s="35">
        <v>12.6</v>
      </c>
      <c r="L61" s="35"/>
    </row>
    <row r="62" spans="1:12" x14ac:dyDescent="0.25">
      <c r="A62" s="52">
        <v>61</v>
      </c>
      <c r="B62" s="52">
        <v>536373</v>
      </c>
      <c r="C62" s="64" t="s">
        <v>66</v>
      </c>
      <c r="D62" s="52" t="s">
        <v>103</v>
      </c>
      <c r="E62" s="52">
        <v>6</v>
      </c>
      <c r="F62" s="65">
        <v>40513</v>
      </c>
      <c r="G62" s="66">
        <v>2.5499999999999998</v>
      </c>
      <c r="H62" s="67">
        <v>17850</v>
      </c>
      <c r="I62" s="35" t="s">
        <v>21</v>
      </c>
      <c r="J62" s="68">
        <v>45920.517633912037</v>
      </c>
      <c r="K62" s="35">
        <v>15.3</v>
      </c>
      <c r="L62" s="35"/>
    </row>
    <row r="63" spans="1:12" x14ac:dyDescent="0.25">
      <c r="A63" s="52">
        <v>62</v>
      </c>
      <c r="B63" s="52">
        <v>536373</v>
      </c>
      <c r="C63" s="64" t="s">
        <v>25</v>
      </c>
      <c r="D63" s="52" t="s">
        <v>26</v>
      </c>
      <c r="E63" s="52">
        <v>6</v>
      </c>
      <c r="F63" s="65">
        <v>40513</v>
      </c>
      <c r="G63" s="66">
        <v>3.39</v>
      </c>
      <c r="H63" s="67">
        <v>17850</v>
      </c>
      <c r="I63" s="35" t="s">
        <v>21</v>
      </c>
      <c r="J63" s="68">
        <v>45920.517633912037</v>
      </c>
      <c r="K63" s="35">
        <v>20.34</v>
      </c>
      <c r="L63" s="35"/>
    </row>
    <row r="64" spans="1:12" x14ac:dyDescent="0.25">
      <c r="A64" s="52">
        <v>63</v>
      </c>
      <c r="B64" s="52">
        <v>536373</v>
      </c>
      <c r="C64" s="64" t="s">
        <v>27</v>
      </c>
      <c r="D64" s="52" t="s">
        <v>28</v>
      </c>
      <c r="E64" s="52">
        <v>6</v>
      </c>
      <c r="F64" s="65">
        <v>40513</v>
      </c>
      <c r="G64" s="66">
        <v>3.39</v>
      </c>
      <c r="H64" s="67">
        <v>17850</v>
      </c>
      <c r="I64" s="35" t="s">
        <v>21</v>
      </c>
      <c r="J64" s="68">
        <v>45920.517633912037</v>
      </c>
      <c r="K64" s="35">
        <v>20.34</v>
      </c>
      <c r="L64" s="35"/>
    </row>
    <row r="65" spans="1:12" x14ac:dyDescent="0.25">
      <c r="A65" s="52">
        <v>64</v>
      </c>
      <c r="B65" s="52">
        <v>536373</v>
      </c>
      <c r="C65" s="64">
        <v>22752</v>
      </c>
      <c r="D65" s="52" t="s">
        <v>29</v>
      </c>
      <c r="E65" s="52">
        <v>2</v>
      </c>
      <c r="F65" s="65">
        <v>40513</v>
      </c>
      <c r="G65" s="66">
        <v>7.65</v>
      </c>
      <c r="H65" s="67">
        <v>17850</v>
      </c>
      <c r="I65" s="35" t="s">
        <v>21</v>
      </c>
      <c r="J65" s="68">
        <v>45920.517633912037</v>
      </c>
      <c r="K65" s="35">
        <v>15.3</v>
      </c>
      <c r="L65" s="35"/>
    </row>
    <row r="66" spans="1:12" x14ac:dyDescent="0.25">
      <c r="A66" s="52">
        <v>65</v>
      </c>
      <c r="B66" s="52">
        <v>536373</v>
      </c>
      <c r="C66" s="64">
        <v>21730</v>
      </c>
      <c r="D66" s="52" t="s">
        <v>30</v>
      </c>
      <c r="E66" s="52">
        <v>6</v>
      </c>
      <c r="F66" s="65">
        <v>40513</v>
      </c>
      <c r="G66" s="66">
        <v>4.25</v>
      </c>
      <c r="H66" s="67">
        <v>17850</v>
      </c>
      <c r="I66" s="35" t="s">
        <v>21</v>
      </c>
      <c r="J66" s="68">
        <v>45920.517633912037</v>
      </c>
      <c r="K66" s="35">
        <v>25.5</v>
      </c>
      <c r="L66" s="35"/>
    </row>
    <row r="67" spans="1:12" x14ac:dyDescent="0.25">
      <c r="A67" s="52">
        <v>66</v>
      </c>
      <c r="B67" s="52">
        <v>536374</v>
      </c>
      <c r="C67" s="64">
        <v>21258</v>
      </c>
      <c r="D67" s="52" t="s">
        <v>67</v>
      </c>
      <c r="E67" s="52">
        <v>32</v>
      </c>
      <c r="F67" s="65">
        <v>40513</v>
      </c>
      <c r="G67" s="66">
        <v>10.95</v>
      </c>
      <c r="H67" s="67">
        <v>15100</v>
      </c>
      <c r="I67" s="35" t="s">
        <v>21</v>
      </c>
      <c r="J67" s="68">
        <v>45920.517633912037</v>
      </c>
      <c r="K67" s="35">
        <v>350.4</v>
      </c>
      <c r="L67" s="35"/>
    </row>
    <row r="68" spans="1:12" x14ac:dyDescent="0.25">
      <c r="A68" s="52">
        <v>67</v>
      </c>
      <c r="B68" s="52">
        <v>536375</v>
      </c>
      <c r="C68" s="64" t="s">
        <v>19</v>
      </c>
      <c r="D68" s="52" t="s">
        <v>20</v>
      </c>
      <c r="E68" s="52">
        <v>6</v>
      </c>
      <c r="F68" s="65">
        <v>40513</v>
      </c>
      <c r="G68" s="66">
        <v>2.5499999999999998</v>
      </c>
      <c r="H68" s="67">
        <v>17850</v>
      </c>
      <c r="I68" s="35" t="s">
        <v>21</v>
      </c>
      <c r="J68" s="68">
        <v>45920.517633912037</v>
      </c>
      <c r="K68" s="35">
        <v>15.3</v>
      </c>
      <c r="L68" s="35"/>
    </row>
    <row r="69" spans="1:12" x14ac:dyDescent="0.25">
      <c r="A69" s="52">
        <v>68</v>
      </c>
      <c r="B69" s="52">
        <v>536375</v>
      </c>
      <c r="C69" s="64">
        <v>71053</v>
      </c>
      <c r="D69" s="52" t="s">
        <v>22</v>
      </c>
      <c r="E69" s="52">
        <v>6</v>
      </c>
      <c r="F69" s="65">
        <v>40513</v>
      </c>
      <c r="G69" s="66">
        <v>3.39</v>
      </c>
      <c r="H69" s="67">
        <v>17850</v>
      </c>
      <c r="I69" s="35" t="s">
        <v>21</v>
      </c>
      <c r="J69" s="68">
        <v>45920.517633912037</v>
      </c>
      <c r="K69" s="35">
        <v>20.34</v>
      </c>
      <c r="L69" s="35"/>
    </row>
    <row r="70" spans="1:12" x14ac:dyDescent="0.25">
      <c r="A70" s="52">
        <v>69</v>
      </c>
      <c r="B70" s="52">
        <v>536375</v>
      </c>
      <c r="C70" s="64" t="s">
        <v>23</v>
      </c>
      <c r="D70" s="52" t="s">
        <v>24</v>
      </c>
      <c r="E70" s="52">
        <v>8</v>
      </c>
      <c r="F70" s="65">
        <v>40513</v>
      </c>
      <c r="G70" s="66">
        <v>2.75</v>
      </c>
      <c r="H70" s="67">
        <v>17850</v>
      </c>
      <c r="I70" s="35" t="s">
        <v>21</v>
      </c>
      <c r="J70" s="68">
        <v>45920.517633912037</v>
      </c>
      <c r="K70" s="35">
        <v>22</v>
      </c>
      <c r="L70" s="35"/>
    </row>
    <row r="71" spans="1:12" x14ac:dyDescent="0.25">
      <c r="A71" s="52">
        <v>70</v>
      </c>
      <c r="B71" s="52">
        <v>536375</v>
      </c>
      <c r="C71" s="64">
        <v>20679</v>
      </c>
      <c r="D71" s="52" t="s">
        <v>58</v>
      </c>
      <c r="E71" s="52">
        <v>6</v>
      </c>
      <c r="F71" s="65">
        <v>40513</v>
      </c>
      <c r="G71" s="66">
        <v>4.95</v>
      </c>
      <c r="H71" s="67">
        <v>17850</v>
      </c>
      <c r="I71" s="35" t="s">
        <v>21</v>
      </c>
      <c r="J71" s="68">
        <v>45920.517633912037</v>
      </c>
      <c r="K71" s="35">
        <v>29.7</v>
      </c>
      <c r="L71" s="35"/>
    </row>
    <row r="72" spans="1:12" x14ac:dyDescent="0.25">
      <c r="A72" s="52">
        <v>71</v>
      </c>
      <c r="B72" s="52">
        <v>536375</v>
      </c>
      <c r="C72" s="64">
        <v>37370</v>
      </c>
      <c r="D72" s="52" t="s">
        <v>59</v>
      </c>
      <c r="E72" s="52">
        <v>6</v>
      </c>
      <c r="F72" s="65">
        <v>40513</v>
      </c>
      <c r="G72" s="66">
        <v>1.06</v>
      </c>
      <c r="H72" s="67">
        <v>17850</v>
      </c>
      <c r="I72" s="35" t="s">
        <v>21</v>
      </c>
      <c r="J72" s="68">
        <v>45920.517633912037</v>
      </c>
      <c r="K72" s="35">
        <v>6.36</v>
      </c>
      <c r="L72" s="35"/>
    </row>
    <row r="73" spans="1:12" x14ac:dyDescent="0.25">
      <c r="A73" s="52">
        <v>72</v>
      </c>
      <c r="B73" s="52">
        <v>536375</v>
      </c>
      <c r="C73" s="64">
        <v>21871</v>
      </c>
      <c r="D73" s="52" t="s">
        <v>60</v>
      </c>
      <c r="E73" s="52">
        <v>6</v>
      </c>
      <c r="F73" s="65">
        <v>40513</v>
      </c>
      <c r="G73" s="66">
        <v>1.06</v>
      </c>
      <c r="H73" s="67">
        <v>17850</v>
      </c>
      <c r="I73" s="35" t="s">
        <v>21</v>
      </c>
      <c r="J73" s="68">
        <v>45920.517633912037</v>
      </c>
      <c r="K73" s="35">
        <v>6.36</v>
      </c>
      <c r="L73" s="35"/>
    </row>
    <row r="74" spans="1:12" x14ac:dyDescent="0.25">
      <c r="A74" s="52">
        <v>73</v>
      </c>
      <c r="B74" s="52">
        <v>536375</v>
      </c>
      <c r="C74" s="64">
        <v>21071</v>
      </c>
      <c r="D74" s="52" t="s">
        <v>61</v>
      </c>
      <c r="E74" s="52">
        <v>6</v>
      </c>
      <c r="F74" s="65">
        <v>40513</v>
      </c>
      <c r="G74" s="66">
        <v>1.06</v>
      </c>
      <c r="H74" s="67">
        <v>17850</v>
      </c>
      <c r="I74" s="35" t="s">
        <v>21</v>
      </c>
      <c r="J74" s="68">
        <v>45920.517633912037</v>
      </c>
      <c r="K74" s="35">
        <v>6.36</v>
      </c>
      <c r="L74" s="35"/>
    </row>
    <row r="75" spans="1:12" x14ac:dyDescent="0.25">
      <c r="A75" s="52">
        <v>74</v>
      </c>
      <c r="B75" s="52">
        <v>536375</v>
      </c>
      <c r="C75" s="64">
        <v>21068</v>
      </c>
      <c r="D75" s="52" t="s">
        <v>62</v>
      </c>
      <c r="E75" s="52">
        <v>6</v>
      </c>
      <c r="F75" s="65">
        <v>40513</v>
      </c>
      <c r="G75" s="66">
        <v>1.06</v>
      </c>
      <c r="H75" s="67">
        <v>17850</v>
      </c>
      <c r="I75" s="35" t="s">
        <v>21</v>
      </c>
      <c r="J75" s="68">
        <v>45920.517633912037</v>
      </c>
      <c r="K75" s="35">
        <v>6.36</v>
      </c>
      <c r="L75" s="35"/>
    </row>
    <row r="76" spans="1:12" x14ac:dyDescent="0.25">
      <c r="A76" s="52">
        <v>75</v>
      </c>
      <c r="B76" s="52">
        <v>536375</v>
      </c>
      <c r="C76" s="64">
        <v>82483</v>
      </c>
      <c r="D76" s="52" t="s">
        <v>63</v>
      </c>
      <c r="E76" s="52">
        <v>2</v>
      </c>
      <c r="F76" s="65">
        <v>40513</v>
      </c>
      <c r="G76" s="66">
        <v>4.95</v>
      </c>
      <c r="H76" s="67">
        <v>17850</v>
      </c>
      <c r="I76" s="35" t="s">
        <v>21</v>
      </c>
      <c r="J76" s="68">
        <v>45920.517633912037</v>
      </c>
      <c r="K76" s="35">
        <v>9.9</v>
      </c>
      <c r="L76" s="35"/>
    </row>
    <row r="77" spans="1:12" x14ac:dyDescent="0.25">
      <c r="A77" s="52">
        <v>76</v>
      </c>
      <c r="B77" s="52">
        <v>536375</v>
      </c>
      <c r="C77" s="64">
        <v>82486</v>
      </c>
      <c r="D77" s="52" t="s">
        <v>64</v>
      </c>
      <c r="E77" s="52">
        <v>4</v>
      </c>
      <c r="F77" s="65">
        <v>40513</v>
      </c>
      <c r="G77" s="66">
        <v>6.95</v>
      </c>
      <c r="H77" s="67">
        <v>17850</v>
      </c>
      <c r="I77" s="35" t="s">
        <v>21</v>
      </c>
      <c r="J77" s="68">
        <v>45920.517633912037</v>
      </c>
      <c r="K77" s="35">
        <v>27.8</v>
      </c>
      <c r="L77" s="35"/>
    </row>
    <row r="78" spans="1:12" x14ac:dyDescent="0.25">
      <c r="A78" s="52">
        <v>77</v>
      </c>
      <c r="B78" s="52">
        <v>536375</v>
      </c>
      <c r="C78" s="64">
        <v>82482</v>
      </c>
      <c r="D78" s="52" t="s">
        <v>65</v>
      </c>
      <c r="E78" s="52">
        <v>6</v>
      </c>
      <c r="F78" s="65">
        <v>40513</v>
      </c>
      <c r="G78" s="66">
        <v>2.1</v>
      </c>
      <c r="H78" s="67">
        <v>17850</v>
      </c>
      <c r="I78" s="35" t="s">
        <v>21</v>
      </c>
      <c r="J78" s="68">
        <v>45920.517633912037</v>
      </c>
      <c r="K78" s="35">
        <v>12.6</v>
      </c>
      <c r="L78" s="35"/>
    </row>
    <row r="79" spans="1:12" x14ac:dyDescent="0.25">
      <c r="A79" s="52">
        <v>78</v>
      </c>
      <c r="B79" s="52">
        <v>536375</v>
      </c>
      <c r="C79" s="64" t="s">
        <v>66</v>
      </c>
      <c r="D79" s="52" t="s">
        <v>103</v>
      </c>
      <c r="E79" s="52">
        <v>6</v>
      </c>
      <c r="F79" s="65">
        <v>40513</v>
      </c>
      <c r="G79" s="66">
        <v>2.5499999999999998</v>
      </c>
      <c r="H79" s="67">
        <v>17850</v>
      </c>
      <c r="I79" s="35" t="s">
        <v>21</v>
      </c>
      <c r="J79" s="68">
        <v>45920.517633912037</v>
      </c>
      <c r="K79" s="35">
        <v>15.3</v>
      </c>
      <c r="L79" s="35"/>
    </row>
    <row r="80" spans="1:12" x14ac:dyDescent="0.25">
      <c r="A80" s="52">
        <v>79</v>
      </c>
      <c r="B80" s="52">
        <v>536375</v>
      </c>
      <c r="C80" s="64" t="s">
        <v>25</v>
      </c>
      <c r="D80" s="52" t="s">
        <v>26</v>
      </c>
      <c r="E80" s="52">
        <v>6</v>
      </c>
      <c r="F80" s="65">
        <v>40513</v>
      </c>
      <c r="G80" s="66">
        <v>3.39</v>
      </c>
      <c r="H80" s="67">
        <v>17850</v>
      </c>
      <c r="I80" s="35" t="s">
        <v>21</v>
      </c>
      <c r="J80" s="68">
        <v>45920.517633912037</v>
      </c>
      <c r="K80" s="35">
        <v>20.34</v>
      </c>
      <c r="L80" s="35"/>
    </row>
    <row r="81" spans="1:12" x14ac:dyDescent="0.25">
      <c r="A81" s="52">
        <v>80</v>
      </c>
      <c r="B81" s="52">
        <v>536375</v>
      </c>
      <c r="C81" s="64" t="s">
        <v>27</v>
      </c>
      <c r="D81" s="52" t="s">
        <v>28</v>
      </c>
      <c r="E81" s="52">
        <v>6</v>
      </c>
      <c r="F81" s="65">
        <v>40513</v>
      </c>
      <c r="G81" s="66">
        <v>3.39</v>
      </c>
      <c r="H81" s="67">
        <v>17850</v>
      </c>
      <c r="I81" s="35" t="s">
        <v>21</v>
      </c>
      <c r="J81" s="68">
        <v>45920.517633912037</v>
      </c>
      <c r="K81" s="35">
        <v>20.34</v>
      </c>
      <c r="L81" s="35"/>
    </row>
    <row r="82" spans="1:12" x14ac:dyDescent="0.25">
      <c r="A82" s="52">
        <v>81</v>
      </c>
      <c r="B82" s="52">
        <v>536375</v>
      </c>
      <c r="C82" s="64">
        <v>22752</v>
      </c>
      <c r="D82" s="52" t="s">
        <v>29</v>
      </c>
      <c r="E82" s="52">
        <v>2</v>
      </c>
      <c r="F82" s="65">
        <v>40513</v>
      </c>
      <c r="G82" s="66">
        <v>7.65</v>
      </c>
      <c r="H82" s="67">
        <v>17850</v>
      </c>
      <c r="I82" s="35" t="s">
        <v>21</v>
      </c>
      <c r="J82" s="68">
        <v>45920.517633912037</v>
      </c>
      <c r="K82" s="35">
        <v>15.3</v>
      </c>
      <c r="L82" s="35"/>
    </row>
    <row r="83" spans="1:12" x14ac:dyDescent="0.25">
      <c r="A83" s="52">
        <v>82</v>
      </c>
      <c r="B83" s="52">
        <v>536375</v>
      </c>
      <c r="C83" s="64">
        <v>21730</v>
      </c>
      <c r="D83" s="52" t="s">
        <v>30</v>
      </c>
      <c r="E83" s="52">
        <v>6</v>
      </c>
      <c r="F83" s="65">
        <v>40513</v>
      </c>
      <c r="G83" s="66">
        <v>4.25</v>
      </c>
      <c r="H83" s="67">
        <v>17850</v>
      </c>
      <c r="I83" s="35" t="s">
        <v>21</v>
      </c>
      <c r="J83" s="68">
        <v>45920.517633912037</v>
      </c>
      <c r="K83" s="35">
        <v>25.5</v>
      </c>
      <c r="L83" s="35"/>
    </row>
    <row r="84" spans="1:12" x14ac:dyDescent="0.25">
      <c r="A84" s="52">
        <v>83</v>
      </c>
      <c r="B84" s="52">
        <v>536376</v>
      </c>
      <c r="C84" s="64">
        <v>22114</v>
      </c>
      <c r="D84" s="52" t="s">
        <v>68</v>
      </c>
      <c r="E84" s="52">
        <v>48</v>
      </c>
      <c r="F84" s="65">
        <v>40513</v>
      </c>
      <c r="G84" s="66">
        <v>3.45</v>
      </c>
      <c r="H84" s="67">
        <v>15291</v>
      </c>
      <c r="I84" s="35" t="s">
        <v>21</v>
      </c>
      <c r="J84" s="68">
        <v>45920.517633912037</v>
      </c>
      <c r="K84" s="35">
        <v>165.6</v>
      </c>
      <c r="L84" s="35"/>
    </row>
    <row r="85" spans="1:12" x14ac:dyDescent="0.25">
      <c r="A85" s="52">
        <v>84</v>
      </c>
      <c r="B85" s="52">
        <v>536376</v>
      </c>
      <c r="C85" s="64">
        <v>21733</v>
      </c>
      <c r="D85" s="52" t="s">
        <v>69</v>
      </c>
      <c r="E85" s="52">
        <v>64</v>
      </c>
      <c r="F85" s="65">
        <v>40513</v>
      </c>
      <c r="G85" s="66">
        <v>2.5499999999999998</v>
      </c>
      <c r="H85" s="67">
        <v>15291</v>
      </c>
      <c r="I85" s="35" t="s">
        <v>21</v>
      </c>
      <c r="J85" s="68">
        <v>45920.517633912037</v>
      </c>
      <c r="K85" s="35">
        <v>163.19999999999999</v>
      </c>
      <c r="L85" s="35"/>
    </row>
    <row r="86" spans="1:12" x14ac:dyDescent="0.25">
      <c r="A86" s="52">
        <v>85</v>
      </c>
      <c r="B86" s="52">
        <v>536377</v>
      </c>
      <c r="C86" s="64">
        <v>22632</v>
      </c>
      <c r="D86" s="52" t="s">
        <v>32</v>
      </c>
      <c r="E86" s="52">
        <v>6</v>
      </c>
      <c r="F86" s="65">
        <v>40513</v>
      </c>
      <c r="G86" s="66">
        <v>1.85</v>
      </c>
      <c r="H86" s="67">
        <v>17850</v>
      </c>
      <c r="I86" s="35" t="s">
        <v>21</v>
      </c>
      <c r="J86" s="68">
        <v>45920.517633912037</v>
      </c>
      <c r="K86" s="35">
        <v>11.1</v>
      </c>
      <c r="L86" s="35"/>
    </row>
    <row r="87" spans="1:12" x14ac:dyDescent="0.25">
      <c r="A87" s="52">
        <v>86</v>
      </c>
      <c r="B87" s="52">
        <v>536377</v>
      </c>
      <c r="C87" s="64">
        <v>22633</v>
      </c>
      <c r="D87" s="52" t="s">
        <v>31</v>
      </c>
      <c r="E87" s="52">
        <v>6</v>
      </c>
      <c r="F87" s="65">
        <v>40513</v>
      </c>
      <c r="G87" s="66">
        <v>1.85</v>
      </c>
      <c r="H87" s="67">
        <v>17850</v>
      </c>
      <c r="I87" s="35" t="s">
        <v>21</v>
      </c>
      <c r="J87" s="68">
        <v>45920.517633912037</v>
      </c>
      <c r="K87" s="35">
        <v>11.1</v>
      </c>
      <c r="L87" s="35"/>
    </row>
    <row r="88" spans="1:12" x14ac:dyDescent="0.25">
      <c r="A88" s="52">
        <v>87</v>
      </c>
      <c r="B88" s="52">
        <v>536378</v>
      </c>
      <c r="C88" s="64">
        <v>21931</v>
      </c>
      <c r="D88" s="52" t="s">
        <v>70</v>
      </c>
      <c r="E88" s="52">
        <v>10</v>
      </c>
      <c r="F88" s="65">
        <v>40513</v>
      </c>
      <c r="G88" s="66">
        <v>1.95</v>
      </c>
      <c r="H88" s="67">
        <v>14688</v>
      </c>
      <c r="I88" s="35" t="s">
        <v>21</v>
      </c>
      <c r="J88" s="68">
        <v>45920.517633912037</v>
      </c>
      <c r="K88" s="35">
        <v>19.5</v>
      </c>
      <c r="L88" s="35"/>
    </row>
    <row r="89" spans="1:12" x14ac:dyDescent="0.25">
      <c r="A89" s="52">
        <v>88</v>
      </c>
      <c r="B89" s="52">
        <v>536378</v>
      </c>
      <c r="C89" s="64">
        <v>21929</v>
      </c>
      <c r="D89" s="52" t="s">
        <v>71</v>
      </c>
      <c r="E89" s="52">
        <v>10</v>
      </c>
      <c r="F89" s="65">
        <v>40513</v>
      </c>
      <c r="G89" s="66">
        <v>1.95</v>
      </c>
      <c r="H89" s="67">
        <v>14688</v>
      </c>
      <c r="I89" s="35" t="s">
        <v>21</v>
      </c>
      <c r="J89" s="68">
        <v>45920.517633912037</v>
      </c>
      <c r="K89" s="35">
        <v>19.5</v>
      </c>
      <c r="L89" s="35"/>
    </row>
    <row r="90" spans="1:12" x14ac:dyDescent="0.25">
      <c r="A90" s="52">
        <v>89</v>
      </c>
      <c r="B90" s="52">
        <v>536380</v>
      </c>
      <c r="C90" s="64">
        <v>22961</v>
      </c>
      <c r="D90" s="52" t="s">
        <v>72</v>
      </c>
      <c r="E90" s="52">
        <v>24</v>
      </c>
      <c r="F90" s="65">
        <v>40513</v>
      </c>
      <c r="G90" s="66">
        <v>1.45</v>
      </c>
      <c r="H90" s="67">
        <v>17809</v>
      </c>
      <c r="I90" s="35" t="s">
        <v>21</v>
      </c>
      <c r="J90" s="68">
        <v>45920.517633912037</v>
      </c>
      <c r="K90" s="35">
        <v>34.799999999999997</v>
      </c>
      <c r="L90" s="35"/>
    </row>
    <row r="91" spans="1:12" x14ac:dyDescent="0.25">
      <c r="A91" s="52">
        <v>90</v>
      </c>
      <c r="B91" s="52">
        <v>536381</v>
      </c>
      <c r="C91" s="64">
        <v>22139</v>
      </c>
      <c r="D91" s="52" t="s">
        <v>104</v>
      </c>
      <c r="E91" s="52">
        <v>23</v>
      </c>
      <c r="F91" s="65">
        <v>40513</v>
      </c>
      <c r="G91" s="66">
        <v>4.25</v>
      </c>
      <c r="H91" s="67">
        <v>15311</v>
      </c>
      <c r="I91" s="35" t="s">
        <v>21</v>
      </c>
      <c r="J91" s="68">
        <v>45920.517633912037</v>
      </c>
      <c r="K91" s="35">
        <v>97.75</v>
      </c>
      <c r="L91" s="35"/>
    </row>
    <row r="92" spans="1:12" x14ac:dyDescent="0.25">
      <c r="A92" s="52">
        <v>91</v>
      </c>
      <c r="B92" s="52">
        <v>536381</v>
      </c>
      <c r="C92" s="64">
        <v>84854</v>
      </c>
      <c r="D92" s="52" t="s">
        <v>73</v>
      </c>
      <c r="E92" s="52">
        <v>5</v>
      </c>
      <c r="F92" s="65">
        <v>40513</v>
      </c>
      <c r="G92" s="66">
        <v>4.95</v>
      </c>
      <c r="H92" s="67">
        <v>15311</v>
      </c>
      <c r="I92" s="35" t="s">
        <v>21</v>
      </c>
      <c r="J92" s="68">
        <v>45920.517633912037</v>
      </c>
      <c r="K92" s="35">
        <v>24.75</v>
      </c>
      <c r="L92" s="35"/>
    </row>
    <row r="93" spans="1:12" x14ac:dyDescent="0.25">
      <c r="A93" s="52">
        <v>92</v>
      </c>
      <c r="B93" s="52">
        <v>536381</v>
      </c>
      <c r="C93" s="64">
        <v>22411</v>
      </c>
      <c r="D93" s="52" t="s">
        <v>74</v>
      </c>
      <c r="E93" s="52">
        <v>10</v>
      </c>
      <c r="F93" s="65">
        <v>40513</v>
      </c>
      <c r="G93" s="66">
        <v>1.95</v>
      </c>
      <c r="H93" s="67">
        <v>15311</v>
      </c>
      <c r="I93" s="35" t="s">
        <v>21</v>
      </c>
      <c r="J93" s="68">
        <v>45920.517633912037</v>
      </c>
      <c r="K93" s="35">
        <v>19.5</v>
      </c>
      <c r="L93" s="35"/>
    </row>
    <row r="94" spans="1:12" x14ac:dyDescent="0.25">
      <c r="A94" s="52">
        <v>93</v>
      </c>
      <c r="B94" s="52">
        <v>536381</v>
      </c>
      <c r="C94" s="64">
        <v>82567</v>
      </c>
      <c r="D94" s="52" t="s">
        <v>75</v>
      </c>
      <c r="E94" s="52">
        <v>2</v>
      </c>
      <c r="F94" s="65">
        <v>40513</v>
      </c>
      <c r="G94" s="66">
        <v>2.1</v>
      </c>
      <c r="H94" s="67">
        <v>15311</v>
      </c>
      <c r="I94" s="35" t="s">
        <v>21</v>
      </c>
      <c r="J94" s="68">
        <v>45920.517633912037</v>
      </c>
      <c r="K94" s="35">
        <v>4.2</v>
      </c>
      <c r="L94" s="35"/>
    </row>
    <row r="95" spans="1:12" x14ac:dyDescent="0.25">
      <c r="A95" s="52">
        <v>94</v>
      </c>
      <c r="B95" s="52">
        <v>536381</v>
      </c>
      <c r="C95" s="64">
        <v>21672</v>
      </c>
      <c r="D95" s="52" t="s">
        <v>76</v>
      </c>
      <c r="E95" s="52">
        <v>6</v>
      </c>
      <c r="F95" s="65">
        <v>40513</v>
      </c>
      <c r="G95" s="66">
        <v>1.25</v>
      </c>
      <c r="H95" s="67">
        <v>15311</v>
      </c>
      <c r="I95" s="35" t="s">
        <v>21</v>
      </c>
      <c r="J95" s="68">
        <v>45920.517633912037</v>
      </c>
      <c r="K95" s="35">
        <v>7.5</v>
      </c>
      <c r="L95" s="35"/>
    </row>
    <row r="96" spans="1:12" x14ac:dyDescent="0.25">
      <c r="A96" s="52">
        <v>95</v>
      </c>
      <c r="B96" s="52">
        <v>536381</v>
      </c>
      <c r="C96" s="64">
        <v>22774</v>
      </c>
      <c r="D96" s="52" t="s">
        <v>77</v>
      </c>
      <c r="E96" s="52">
        <v>24</v>
      </c>
      <c r="F96" s="65">
        <v>40513</v>
      </c>
      <c r="G96" s="66">
        <v>1.25</v>
      </c>
      <c r="H96" s="67">
        <v>15311</v>
      </c>
      <c r="I96" s="35" t="s">
        <v>21</v>
      </c>
      <c r="J96" s="68">
        <v>45920.517633912037</v>
      </c>
      <c r="K96" s="35">
        <v>30</v>
      </c>
      <c r="L96" s="35"/>
    </row>
    <row r="97" spans="1:12" x14ac:dyDescent="0.25">
      <c r="A97" s="52">
        <v>96</v>
      </c>
      <c r="B97" s="52">
        <v>536381</v>
      </c>
      <c r="C97" s="64">
        <v>22771</v>
      </c>
      <c r="D97" s="52" t="s">
        <v>78</v>
      </c>
      <c r="E97" s="52">
        <v>24</v>
      </c>
      <c r="F97" s="65">
        <v>40513</v>
      </c>
      <c r="G97" s="66">
        <v>1.25</v>
      </c>
      <c r="H97" s="67">
        <v>15311</v>
      </c>
      <c r="I97" s="35" t="s">
        <v>21</v>
      </c>
      <c r="J97" s="68">
        <v>45920.517633912037</v>
      </c>
      <c r="K97" s="35">
        <v>30</v>
      </c>
      <c r="L97" s="35"/>
    </row>
    <row r="98" spans="1:12" x14ac:dyDescent="0.25">
      <c r="A98" s="52">
        <v>97</v>
      </c>
      <c r="B98" s="52">
        <v>536381</v>
      </c>
      <c r="C98" s="64">
        <v>71270</v>
      </c>
      <c r="D98" s="52" t="s">
        <v>79</v>
      </c>
      <c r="E98" s="52">
        <v>1</v>
      </c>
      <c r="F98" s="65">
        <v>40513</v>
      </c>
      <c r="G98" s="66">
        <v>1.25</v>
      </c>
      <c r="H98" s="67">
        <v>15311</v>
      </c>
      <c r="I98" s="35" t="s">
        <v>21</v>
      </c>
      <c r="J98" s="68">
        <v>45920.517633912037</v>
      </c>
      <c r="K98" s="35">
        <v>1.25</v>
      </c>
      <c r="L98" s="35"/>
    </row>
    <row r="99" spans="1:12" x14ac:dyDescent="0.25">
      <c r="A99" s="52">
        <v>98</v>
      </c>
      <c r="B99" s="52">
        <v>536381</v>
      </c>
      <c r="C99" s="64">
        <v>22262</v>
      </c>
      <c r="D99" s="52" t="s">
        <v>80</v>
      </c>
      <c r="E99" s="52">
        <v>1</v>
      </c>
      <c r="F99" s="65">
        <v>40513</v>
      </c>
      <c r="G99" s="66">
        <v>0.85</v>
      </c>
      <c r="H99" s="67">
        <v>15311</v>
      </c>
      <c r="I99" s="35" t="s">
        <v>21</v>
      </c>
      <c r="J99" s="68">
        <v>45920.517633912037</v>
      </c>
      <c r="K99" s="35">
        <v>0.85</v>
      </c>
      <c r="L99" s="35"/>
    </row>
    <row r="100" spans="1:12" x14ac:dyDescent="0.25">
      <c r="A100" s="52">
        <v>99</v>
      </c>
      <c r="B100" s="52">
        <v>536381</v>
      </c>
      <c r="C100" s="64">
        <v>22637</v>
      </c>
      <c r="D100" s="52" t="s">
        <v>105</v>
      </c>
      <c r="E100" s="52">
        <v>1</v>
      </c>
      <c r="F100" s="65">
        <v>40513</v>
      </c>
      <c r="G100" s="66">
        <v>2.5499999999999998</v>
      </c>
      <c r="H100" s="67">
        <v>15311</v>
      </c>
      <c r="I100" s="35" t="s">
        <v>21</v>
      </c>
      <c r="J100" s="68">
        <v>45920.517633912037</v>
      </c>
      <c r="K100" s="35">
        <v>2.5499999999999998</v>
      </c>
      <c r="L100" s="35"/>
    </row>
    <row r="101" spans="1:12" x14ac:dyDescent="0.25">
      <c r="A101" s="52">
        <v>101</v>
      </c>
      <c r="B101" s="52">
        <v>536381</v>
      </c>
      <c r="C101" s="64">
        <v>21169</v>
      </c>
      <c r="D101" s="52" t="s">
        <v>106</v>
      </c>
      <c r="E101" s="52">
        <v>3</v>
      </c>
      <c r="F101" s="65">
        <v>40513</v>
      </c>
      <c r="G101" s="66">
        <v>1.69</v>
      </c>
      <c r="H101" s="67">
        <v>15311</v>
      </c>
      <c r="I101" s="35" t="s">
        <v>21</v>
      </c>
      <c r="J101" s="68">
        <v>45920.517633912037</v>
      </c>
      <c r="K101" s="35">
        <v>5.07</v>
      </c>
      <c r="L101" s="35"/>
    </row>
    <row r="102" spans="1:12" x14ac:dyDescent="0.25">
      <c r="A102" s="52">
        <v>102</v>
      </c>
      <c r="B102" s="52">
        <v>536381</v>
      </c>
      <c r="C102" s="64">
        <v>21166</v>
      </c>
      <c r="D102" s="52" t="s">
        <v>107</v>
      </c>
      <c r="E102" s="52">
        <v>1</v>
      </c>
      <c r="F102" s="65">
        <v>40513</v>
      </c>
      <c r="G102" s="66">
        <v>1.95</v>
      </c>
      <c r="H102" s="67">
        <v>15311</v>
      </c>
      <c r="I102" s="35" t="s">
        <v>21</v>
      </c>
      <c r="J102" s="68">
        <v>45920.517633912037</v>
      </c>
      <c r="K102" s="35">
        <v>1.95</v>
      </c>
      <c r="L102" s="35"/>
    </row>
    <row r="103" spans="1:12" x14ac:dyDescent="0.25">
      <c r="A103" s="52">
        <v>103</v>
      </c>
      <c r="B103" s="52">
        <v>536381</v>
      </c>
      <c r="C103" s="64">
        <v>21175</v>
      </c>
      <c r="D103" s="52" t="s">
        <v>81</v>
      </c>
      <c r="E103" s="52">
        <v>2</v>
      </c>
      <c r="F103" s="65">
        <v>40513</v>
      </c>
      <c r="G103" s="66">
        <v>2.1</v>
      </c>
      <c r="H103" s="67">
        <v>15311</v>
      </c>
      <c r="I103" s="35" t="s">
        <v>21</v>
      </c>
      <c r="J103" s="68">
        <v>45920.517633912037</v>
      </c>
      <c r="K103" s="35">
        <v>4.2</v>
      </c>
      <c r="L103" s="35"/>
    </row>
    <row r="104" spans="1:12" x14ac:dyDescent="0.25">
      <c r="A104" s="52">
        <v>104</v>
      </c>
      <c r="B104" s="52">
        <v>536381</v>
      </c>
      <c r="C104" s="64" t="s">
        <v>82</v>
      </c>
      <c r="D104" s="52" t="s">
        <v>83</v>
      </c>
      <c r="E104" s="52">
        <v>1</v>
      </c>
      <c r="F104" s="65">
        <v>40513</v>
      </c>
      <c r="G104" s="66">
        <v>2.95</v>
      </c>
      <c r="H104" s="67">
        <v>15311</v>
      </c>
      <c r="I104" s="35" t="s">
        <v>21</v>
      </c>
      <c r="J104" s="68">
        <v>45920.517633912037</v>
      </c>
      <c r="K104" s="35">
        <v>2.95</v>
      </c>
      <c r="L104" s="35"/>
    </row>
    <row r="105" spans="1:12" x14ac:dyDescent="0.25">
      <c r="A105" s="52">
        <v>105</v>
      </c>
      <c r="B105" s="52">
        <v>536381</v>
      </c>
      <c r="C105" s="64" t="s">
        <v>84</v>
      </c>
      <c r="D105" s="52" t="s">
        <v>108</v>
      </c>
      <c r="E105" s="52">
        <v>1</v>
      </c>
      <c r="F105" s="65">
        <v>40513</v>
      </c>
      <c r="G105" s="66">
        <v>2.95</v>
      </c>
      <c r="H105" s="67">
        <v>15311</v>
      </c>
      <c r="I105" s="35" t="s">
        <v>21</v>
      </c>
      <c r="J105" s="68">
        <v>45920.517633912037</v>
      </c>
      <c r="K105" s="35">
        <v>2.95</v>
      </c>
      <c r="L105" s="35"/>
    </row>
    <row r="106" spans="1:12" x14ac:dyDescent="0.25">
      <c r="A106" s="52">
        <v>106</v>
      </c>
      <c r="B106" s="52">
        <v>536381</v>
      </c>
      <c r="C106" s="64">
        <v>22086</v>
      </c>
      <c r="D106" s="52" t="s">
        <v>102</v>
      </c>
      <c r="E106" s="52">
        <v>4</v>
      </c>
      <c r="F106" s="65">
        <v>40513</v>
      </c>
      <c r="G106" s="66">
        <v>2.95</v>
      </c>
      <c r="H106" s="67">
        <v>15311</v>
      </c>
      <c r="I106" s="35" t="s">
        <v>21</v>
      </c>
      <c r="J106" s="68">
        <v>45920.517633912037</v>
      </c>
      <c r="K106" s="35">
        <v>11.8</v>
      </c>
      <c r="L106" s="35"/>
    </row>
    <row r="107" spans="1:12" x14ac:dyDescent="0.25">
      <c r="A107" s="52">
        <v>107</v>
      </c>
      <c r="B107" s="52">
        <v>536381</v>
      </c>
      <c r="C107" s="64">
        <v>22083</v>
      </c>
      <c r="D107" s="52" t="s">
        <v>85</v>
      </c>
      <c r="E107" s="52">
        <v>1</v>
      </c>
      <c r="F107" s="65">
        <v>40513</v>
      </c>
      <c r="G107" s="66">
        <v>2.95</v>
      </c>
      <c r="H107" s="67">
        <v>15311</v>
      </c>
      <c r="I107" s="35" t="s">
        <v>21</v>
      </c>
      <c r="J107" s="68">
        <v>45920.517633912037</v>
      </c>
      <c r="K107" s="35">
        <v>2.95</v>
      </c>
      <c r="L107" s="35">
        <f>SUM(K2:K107)</f>
        <v>3391.4599999999996</v>
      </c>
    </row>
    <row r="108" spans="1:12" x14ac:dyDescent="0.25">
      <c r="A108" s="52">
        <v>110</v>
      </c>
      <c r="B108" s="52">
        <v>536382</v>
      </c>
      <c r="C108" s="64" t="s">
        <v>19</v>
      </c>
      <c r="D108" s="52" t="s">
        <v>20</v>
      </c>
      <c r="E108" s="52">
        <v>1</v>
      </c>
      <c r="F108" s="65">
        <v>45922</v>
      </c>
      <c r="G108" s="66">
        <v>2.5499999999999998</v>
      </c>
      <c r="H108" s="67">
        <v>17851</v>
      </c>
      <c r="I108" s="35" t="s">
        <v>109</v>
      </c>
      <c r="J108" s="68">
        <v>45922.872958252316</v>
      </c>
      <c r="K108" s="35">
        <v>2.5499999999999998</v>
      </c>
      <c r="L108" s="35"/>
    </row>
    <row r="109" spans="1:12" x14ac:dyDescent="0.25">
      <c r="A109" s="52">
        <v>111</v>
      </c>
      <c r="B109" s="52">
        <v>536382</v>
      </c>
      <c r="C109" s="64" t="s">
        <v>19</v>
      </c>
      <c r="D109" s="52" t="s">
        <v>20</v>
      </c>
      <c r="E109" s="52">
        <v>1</v>
      </c>
      <c r="F109" s="65">
        <v>45922</v>
      </c>
      <c r="G109" s="66">
        <v>2.5499999999999998</v>
      </c>
      <c r="H109" s="67">
        <v>17851</v>
      </c>
      <c r="I109" s="35" t="s">
        <v>109</v>
      </c>
      <c r="J109" s="68">
        <v>45922.872990451389</v>
      </c>
      <c r="K109" s="35">
        <v>2.5499999999999998</v>
      </c>
      <c r="L109" s="35"/>
    </row>
    <row r="110" spans="1:12" x14ac:dyDescent="0.25">
      <c r="A110" s="52">
        <v>112</v>
      </c>
      <c r="B110" s="52">
        <v>536382</v>
      </c>
      <c r="C110" s="64" t="s">
        <v>19</v>
      </c>
      <c r="D110" s="52" t="s">
        <v>20</v>
      </c>
      <c r="E110" s="52">
        <v>1</v>
      </c>
      <c r="F110" s="65">
        <v>45922</v>
      </c>
      <c r="G110" s="66">
        <v>2.5499999999999998</v>
      </c>
      <c r="H110" s="67">
        <v>17851</v>
      </c>
      <c r="I110" s="35" t="s">
        <v>109</v>
      </c>
      <c r="J110" s="68">
        <v>45922.873038310187</v>
      </c>
      <c r="K110" s="35">
        <v>2.5499999999999998</v>
      </c>
      <c r="L110" s="35"/>
    </row>
    <row r="111" spans="1:12" x14ac:dyDescent="0.25">
      <c r="A111" s="52">
        <v>113</v>
      </c>
      <c r="B111" s="52">
        <v>536382</v>
      </c>
      <c r="C111" s="64" t="s">
        <v>19</v>
      </c>
      <c r="D111" s="52" t="s">
        <v>20</v>
      </c>
      <c r="E111" s="52">
        <v>1</v>
      </c>
      <c r="F111" s="65">
        <v>45922</v>
      </c>
      <c r="G111" s="66">
        <v>2.5499999999999998</v>
      </c>
      <c r="H111" s="67">
        <v>17851</v>
      </c>
      <c r="I111" s="35" t="s">
        <v>109</v>
      </c>
      <c r="J111" s="68">
        <v>45922.873096388888</v>
      </c>
      <c r="K111" s="35">
        <v>2.5499999999999998</v>
      </c>
      <c r="L111" s="35"/>
    </row>
    <row r="112" spans="1:12" x14ac:dyDescent="0.25">
      <c r="A112" s="52">
        <v>114</v>
      </c>
      <c r="B112" s="52">
        <v>536382</v>
      </c>
      <c r="C112" s="64" t="s">
        <v>19</v>
      </c>
      <c r="D112" s="52" t="s">
        <v>20</v>
      </c>
      <c r="E112" s="52">
        <v>1</v>
      </c>
      <c r="F112" s="65">
        <v>45922</v>
      </c>
      <c r="G112" s="66">
        <v>2.5499999999999998</v>
      </c>
      <c r="H112" s="67">
        <v>17851</v>
      </c>
      <c r="I112" s="35" t="s">
        <v>109</v>
      </c>
      <c r="J112" s="68">
        <v>45922.873114861111</v>
      </c>
      <c r="K112" s="35">
        <v>2.5499999999999998</v>
      </c>
      <c r="L112" s="35"/>
    </row>
    <row r="113" spans="1:12" x14ac:dyDescent="0.25">
      <c r="A113" s="52">
        <v>115</v>
      </c>
      <c r="B113" s="52">
        <v>536382</v>
      </c>
      <c r="C113" s="64" t="s">
        <v>19</v>
      </c>
      <c r="D113" s="52" t="s">
        <v>20</v>
      </c>
      <c r="E113" s="52">
        <v>1</v>
      </c>
      <c r="F113" s="65">
        <v>45922</v>
      </c>
      <c r="G113" s="66">
        <v>2.5499999999999998</v>
      </c>
      <c r="H113" s="67">
        <v>17851</v>
      </c>
      <c r="I113" s="35" t="s">
        <v>109</v>
      </c>
      <c r="J113" s="68">
        <v>45922.87314520833</v>
      </c>
      <c r="K113" s="35">
        <v>2.5499999999999998</v>
      </c>
      <c r="L113" s="35"/>
    </row>
    <row r="114" spans="1:12" x14ac:dyDescent="0.25">
      <c r="A114" s="52">
        <v>116</v>
      </c>
      <c r="B114" s="52">
        <v>536382</v>
      </c>
      <c r="C114" s="64" t="s">
        <v>19</v>
      </c>
      <c r="D114" s="52" t="s">
        <v>20</v>
      </c>
      <c r="E114" s="52">
        <v>1</v>
      </c>
      <c r="F114" s="65">
        <v>45922</v>
      </c>
      <c r="G114" s="66">
        <v>2.5499999999999998</v>
      </c>
      <c r="H114" s="67">
        <v>17851</v>
      </c>
      <c r="I114" s="35" t="s">
        <v>109</v>
      </c>
      <c r="J114" s="68">
        <v>45922.874095763887</v>
      </c>
      <c r="K114" s="35">
        <v>2.5499999999999998</v>
      </c>
      <c r="L114" s="35"/>
    </row>
    <row r="115" spans="1:12" x14ac:dyDescent="0.25">
      <c r="A115" s="52">
        <v>117</v>
      </c>
      <c r="B115" s="52">
        <v>536382</v>
      </c>
      <c r="C115" s="64" t="s">
        <v>19</v>
      </c>
      <c r="D115" s="52" t="s">
        <v>20</v>
      </c>
      <c r="E115" s="52">
        <v>10000</v>
      </c>
      <c r="F115" s="65">
        <v>45927</v>
      </c>
      <c r="G115" s="66">
        <v>2.5499999999999998</v>
      </c>
      <c r="H115" s="67">
        <v>17851</v>
      </c>
      <c r="I115" s="35" t="s">
        <v>110</v>
      </c>
      <c r="J115" s="68">
        <v>45923.419253148146</v>
      </c>
      <c r="K115" s="35">
        <v>25500</v>
      </c>
      <c r="L115" s="35"/>
    </row>
    <row r="116" spans="1:12" x14ac:dyDescent="0.25">
      <c r="A116" s="52">
        <v>118</v>
      </c>
      <c r="B116" s="52">
        <v>536386</v>
      </c>
      <c r="C116" s="64" t="s">
        <v>19</v>
      </c>
      <c r="D116" s="52" t="s">
        <v>20</v>
      </c>
      <c r="E116" s="52">
        <v>111</v>
      </c>
      <c r="F116" s="65">
        <v>45927</v>
      </c>
      <c r="G116" s="66">
        <v>2.5499999999999998</v>
      </c>
      <c r="H116" s="67">
        <v>17854</v>
      </c>
      <c r="I116" s="35">
        <v>1221</v>
      </c>
      <c r="J116" s="68">
        <v>45927.473316018521</v>
      </c>
      <c r="K116" s="35">
        <v>283.05</v>
      </c>
      <c r="L116" s="35">
        <f>SUM(K108:K116)</f>
        <v>25800.899999999998</v>
      </c>
    </row>
    <row r="117" spans="1:12" x14ac:dyDescent="0.25">
      <c r="A117" s="2"/>
      <c r="B117" s="2"/>
      <c r="C117" s="19"/>
      <c r="D117" s="2"/>
      <c r="E117" s="11"/>
      <c r="F117" s="16"/>
      <c r="G117" s="2"/>
      <c r="H117" s="2"/>
      <c r="I117" s="13"/>
      <c r="J117" s="1"/>
    </row>
    <row r="118" spans="1:12" x14ac:dyDescent="0.25">
      <c r="A118" s="2"/>
      <c r="B118" s="2"/>
      <c r="C118" s="19"/>
      <c r="D118" s="2"/>
      <c r="E118" s="11"/>
      <c r="F118" s="16"/>
      <c r="G118" s="2"/>
      <c r="H118" s="2"/>
      <c r="I118" s="13"/>
      <c r="J118" s="1"/>
    </row>
    <row r="119" spans="1:12" x14ac:dyDescent="0.25">
      <c r="A119" s="2"/>
      <c r="B119" s="2"/>
      <c r="C119" s="19"/>
      <c r="D119" s="2"/>
      <c r="E119" s="11"/>
      <c r="F119" s="16"/>
      <c r="G119" s="2"/>
      <c r="H119" s="2"/>
      <c r="I119" s="13"/>
      <c r="J119" s="1"/>
    </row>
    <row r="120" spans="1:12" x14ac:dyDescent="0.25">
      <c r="A120" s="2"/>
      <c r="B120" s="2"/>
      <c r="C120" s="19"/>
      <c r="D120" s="2"/>
      <c r="E120" s="11"/>
      <c r="F120" s="16"/>
      <c r="G120" s="2"/>
      <c r="H120" s="2"/>
      <c r="I120" s="13"/>
      <c r="J120" s="1"/>
    </row>
    <row r="121" spans="1:12" x14ac:dyDescent="0.25">
      <c r="A121" s="2"/>
      <c r="B121" s="2"/>
      <c r="C121" s="19"/>
      <c r="D121" s="2"/>
      <c r="E121" s="11"/>
      <c r="F121" s="16"/>
      <c r="G121" s="2"/>
      <c r="H121" s="2"/>
      <c r="I121" s="13"/>
      <c r="J121" s="1"/>
    </row>
    <row r="122" spans="1:12" x14ac:dyDescent="0.25">
      <c r="A122" s="2"/>
      <c r="B122" s="2"/>
      <c r="C122" s="19"/>
      <c r="D122" s="2"/>
      <c r="E122" s="11"/>
      <c r="F122" s="16"/>
      <c r="G122" s="2"/>
      <c r="H122" s="2"/>
      <c r="I122" s="13"/>
      <c r="J122" s="1"/>
    </row>
    <row r="123" spans="1:12" x14ac:dyDescent="0.25">
      <c r="A123" s="2"/>
      <c r="B123" s="2"/>
      <c r="C123" s="19"/>
      <c r="D123" s="2"/>
      <c r="E123" s="11"/>
      <c r="F123" s="16"/>
      <c r="G123" s="2"/>
      <c r="H123" s="2"/>
      <c r="I123" s="13"/>
      <c r="J123" s="1"/>
    </row>
    <row r="124" spans="1:12" x14ac:dyDescent="0.25">
      <c r="A124" s="2"/>
      <c r="B124" s="2"/>
      <c r="C124" s="19"/>
      <c r="D124" s="2"/>
      <c r="E124" s="11"/>
      <c r="F124" s="16"/>
      <c r="G124" s="2"/>
      <c r="H124" s="2"/>
      <c r="I124" s="13"/>
      <c r="J124" s="1"/>
    </row>
    <row r="125" spans="1:12" x14ac:dyDescent="0.25">
      <c r="A125" s="2"/>
      <c r="B125" s="2"/>
      <c r="C125" s="19"/>
      <c r="D125" s="2"/>
      <c r="E125" s="11"/>
      <c r="F125" s="16"/>
      <c r="G125" s="2"/>
      <c r="H125" s="2"/>
      <c r="I125" s="13"/>
      <c r="J125" s="1"/>
    </row>
    <row r="126" spans="1:12" x14ac:dyDescent="0.25">
      <c r="C126" s="18"/>
      <c r="E126" s="1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81455-FBF6-4283-85B7-103BB647784D}">
  <sheetPr>
    <tabColor theme="8" tint="0.59999389629810485"/>
  </sheetPr>
  <dimension ref="A1:J7"/>
  <sheetViews>
    <sheetView zoomScale="116" workbookViewId="0">
      <selection activeCell="E10" sqref="E10"/>
    </sheetView>
  </sheetViews>
  <sheetFormatPr defaultRowHeight="15" x14ac:dyDescent="0.25"/>
  <cols>
    <col min="1" max="1" width="9.140625" style="35"/>
    <col min="2" max="3" width="19.7109375" style="35" customWidth="1"/>
    <col min="4" max="4" width="20.7109375" style="35" customWidth="1"/>
    <col min="5" max="5" width="19.7109375" style="35" customWidth="1"/>
    <col min="6" max="7" width="9.140625" style="35"/>
    <col min="8" max="8" width="20" style="35" customWidth="1"/>
    <col min="9" max="9" width="17.5703125" style="35" customWidth="1"/>
    <col min="10" max="10" width="21.7109375" style="35" customWidth="1"/>
    <col min="11" max="16384" width="9.140625" style="35"/>
  </cols>
  <sheetData>
    <row r="1" spans="1:10" ht="25.5" thickBot="1" x14ac:dyDescent="0.3">
      <c r="A1" s="92" t="s">
        <v>5</v>
      </c>
      <c r="B1" s="93"/>
      <c r="C1" s="93"/>
      <c r="D1" s="93"/>
      <c r="E1" s="94"/>
      <c r="G1" s="95"/>
      <c r="H1" s="95"/>
      <c r="I1" s="95"/>
      <c r="J1" s="95"/>
    </row>
    <row r="2" spans="1:10" ht="16.5" thickBot="1" x14ac:dyDescent="0.3">
      <c r="A2" s="44" t="s">
        <v>0</v>
      </c>
      <c r="B2" s="45" t="s">
        <v>6</v>
      </c>
      <c r="C2" s="45" t="s">
        <v>1</v>
      </c>
      <c r="D2" s="45" t="s">
        <v>2</v>
      </c>
      <c r="E2" s="46" t="s">
        <v>3</v>
      </c>
      <c r="G2" s="47"/>
      <c r="H2" s="47"/>
      <c r="I2" s="47"/>
      <c r="J2" s="47"/>
    </row>
    <row r="3" spans="1:10" x14ac:dyDescent="0.25">
      <c r="A3" s="48">
        <v>2010</v>
      </c>
      <c r="B3" s="49">
        <f>'MAIN DATASET'!L107</f>
        <v>3391.4599999999996</v>
      </c>
      <c r="C3" s="50">
        <f>B3*'Inputs &amp; Assumptions '!G3</f>
        <v>2034.8759999999997</v>
      </c>
      <c r="D3" s="50">
        <f>B3*'Inputs &amp; Assumptions '!G4</f>
        <v>678.29199999999992</v>
      </c>
      <c r="E3" s="51">
        <f>((B3-C3-D3)*(1-'Inputs &amp; Assumptions '!G5))</f>
        <v>474.80439999999993</v>
      </c>
      <c r="G3" s="52"/>
      <c r="H3" s="53"/>
      <c r="I3" s="53"/>
      <c r="J3" s="54"/>
    </row>
    <row r="4" spans="1:10" x14ac:dyDescent="0.25">
      <c r="A4" s="55">
        <v>2025</v>
      </c>
      <c r="B4" s="50">
        <f>'MAIN DATASET'!L116</f>
        <v>25800.899999999998</v>
      </c>
      <c r="C4" s="50">
        <f>B4*'Inputs &amp; Assumptions '!G4</f>
        <v>5160.18</v>
      </c>
      <c r="D4" s="50">
        <f>B4*'Inputs &amp; Assumptions '!G5</f>
        <v>7740.2699999999986</v>
      </c>
      <c r="E4" s="51">
        <f>((B4-C4-D4)*(1-'Inputs &amp; Assumptions '!G6))</f>
        <v>12900.449999999999</v>
      </c>
      <c r="F4" s="56"/>
      <c r="G4" s="52"/>
      <c r="H4" s="53"/>
      <c r="I4" s="53"/>
      <c r="J4" s="54"/>
    </row>
    <row r="5" spans="1:10" x14ac:dyDescent="0.25">
      <c r="A5" s="55"/>
      <c r="B5" s="57"/>
      <c r="C5" s="57"/>
      <c r="D5" s="57"/>
      <c r="E5" s="51"/>
      <c r="F5" s="56"/>
      <c r="G5" s="52"/>
      <c r="H5" s="53"/>
      <c r="I5" s="53"/>
      <c r="J5" s="54"/>
    </row>
    <row r="6" spans="1:10" x14ac:dyDescent="0.25">
      <c r="A6" s="55"/>
      <c r="B6" s="57"/>
      <c r="C6" s="57"/>
      <c r="D6" s="57"/>
      <c r="E6" s="57"/>
      <c r="F6" s="56"/>
      <c r="G6" s="52"/>
      <c r="H6" s="53"/>
      <c r="I6" s="53"/>
      <c r="J6" s="54"/>
    </row>
    <row r="7" spans="1:10" x14ac:dyDescent="0.25">
      <c r="A7" s="55"/>
      <c r="B7" s="57"/>
      <c r="C7" s="57"/>
      <c r="D7" s="57"/>
      <c r="E7" s="57"/>
      <c r="F7" s="56"/>
      <c r="G7" s="52"/>
      <c r="H7" s="53"/>
      <c r="I7" s="53"/>
      <c r="J7" s="54"/>
    </row>
  </sheetData>
  <mergeCells count="2">
    <mergeCell ref="A1:E1"/>
    <mergeCell ref="G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012B-0297-4054-A0DD-DA87CAE14950}">
  <sheetPr>
    <tabColor theme="8" tint="0.39997558519241921"/>
  </sheetPr>
  <dimension ref="A1:G14"/>
  <sheetViews>
    <sheetView workbookViewId="0">
      <selection activeCell="H11" sqref="H11"/>
    </sheetView>
  </sheetViews>
  <sheetFormatPr defaultRowHeight="15" x14ac:dyDescent="0.25"/>
  <cols>
    <col min="1" max="1" width="9.140625" style="35"/>
    <col min="2" max="2" width="8.85546875" style="35" customWidth="1"/>
    <col min="3" max="5" width="9.140625" style="35"/>
    <col min="6" max="6" width="25.5703125" style="35" customWidth="1"/>
    <col min="7" max="7" width="18.42578125" style="35" customWidth="1"/>
    <col min="8" max="16384" width="9.140625" style="35"/>
  </cols>
  <sheetData>
    <row r="1" spans="1:7" ht="23.25" x14ac:dyDescent="0.25">
      <c r="A1" s="97" t="s">
        <v>86</v>
      </c>
      <c r="B1" s="97"/>
      <c r="C1" s="97"/>
      <c r="D1" s="97"/>
      <c r="E1" s="97"/>
      <c r="F1" s="34" t="s">
        <v>11</v>
      </c>
      <c r="G1" s="34" t="s">
        <v>12</v>
      </c>
    </row>
    <row r="2" spans="1:7" ht="18.75" x14ac:dyDescent="0.3">
      <c r="A2" s="96" t="s">
        <v>7</v>
      </c>
      <c r="B2" s="96"/>
      <c r="C2" s="96"/>
      <c r="D2" s="96"/>
      <c r="E2" s="96"/>
      <c r="F2" s="36">
        <v>0.1</v>
      </c>
      <c r="G2" s="37">
        <f>F2</f>
        <v>0.1</v>
      </c>
    </row>
    <row r="3" spans="1:7" ht="18.75" x14ac:dyDescent="0.3">
      <c r="A3" s="96" t="s">
        <v>8</v>
      </c>
      <c r="B3" s="96"/>
      <c r="C3" s="96"/>
      <c r="D3" s="96"/>
      <c r="E3" s="96"/>
      <c r="F3" s="36">
        <v>0.6</v>
      </c>
      <c r="G3" s="37">
        <f t="shared" ref="G3:G5" si="0">F3</f>
        <v>0.6</v>
      </c>
    </row>
    <row r="4" spans="1:7" ht="18.75" x14ac:dyDescent="0.3">
      <c r="A4" s="96" t="s">
        <v>9</v>
      </c>
      <c r="B4" s="96"/>
      <c r="C4" s="96"/>
      <c r="D4" s="96"/>
      <c r="E4" s="96"/>
      <c r="F4" s="36">
        <v>0.2</v>
      </c>
      <c r="G4" s="37">
        <f t="shared" si="0"/>
        <v>0.2</v>
      </c>
    </row>
    <row r="5" spans="1:7" ht="18.75" x14ac:dyDescent="0.3">
      <c r="A5" s="96" t="s">
        <v>10</v>
      </c>
      <c r="B5" s="96"/>
      <c r="C5" s="96"/>
      <c r="D5" s="96"/>
      <c r="E5" s="96"/>
      <c r="F5" s="36">
        <v>0.3</v>
      </c>
      <c r="G5" s="37">
        <f t="shared" si="0"/>
        <v>0.3</v>
      </c>
    </row>
    <row r="8" spans="1:7" ht="13.9" customHeight="1" x14ac:dyDescent="0.4">
      <c r="A8" s="38"/>
      <c r="B8" s="38"/>
      <c r="C8" s="38"/>
      <c r="D8" s="38"/>
      <c r="E8" s="38"/>
      <c r="F8" s="38"/>
      <c r="G8" s="38"/>
    </row>
    <row r="9" spans="1:7" ht="13.9" customHeight="1" x14ac:dyDescent="0.4">
      <c r="A9" s="38"/>
      <c r="B9" s="38"/>
      <c r="C9" s="38"/>
      <c r="D9" s="38"/>
      <c r="E9" s="38"/>
      <c r="F9" s="38"/>
      <c r="G9" s="38"/>
    </row>
    <row r="10" spans="1:7" ht="13.9" customHeight="1" x14ac:dyDescent="0.25">
      <c r="A10" s="100"/>
      <c r="B10" s="100"/>
      <c r="C10" s="100"/>
      <c r="D10" s="100"/>
      <c r="E10" s="100"/>
      <c r="F10" s="39"/>
      <c r="G10" s="39"/>
    </row>
    <row r="11" spans="1:7" ht="13.9" customHeight="1" x14ac:dyDescent="0.25">
      <c r="A11" s="98"/>
      <c r="B11" s="98"/>
      <c r="C11" s="98"/>
      <c r="D11" s="98"/>
      <c r="E11" s="98"/>
      <c r="F11" s="40"/>
      <c r="G11" s="41"/>
    </row>
    <row r="12" spans="1:7" ht="13.9" customHeight="1" x14ac:dyDescent="0.25">
      <c r="A12" s="98"/>
      <c r="B12" s="98"/>
      <c r="C12" s="98"/>
      <c r="D12" s="98"/>
      <c r="E12" s="98"/>
      <c r="F12" s="40"/>
      <c r="G12" s="41"/>
    </row>
    <row r="13" spans="1:7" ht="13.9" customHeight="1" x14ac:dyDescent="0.3">
      <c r="A13" s="99"/>
      <c r="B13" s="99"/>
      <c r="C13" s="99"/>
      <c r="D13" s="99"/>
      <c r="E13" s="99"/>
      <c r="F13" s="42"/>
      <c r="G13" s="43"/>
    </row>
    <row r="14" spans="1:7" ht="18.75" x14ac:dyDescent="0.3">
      <c r="A14" s="99"/>
      <c r="B14" s="99"/>
      <c r="C14" s="99"/>
      <c r="D14" s="99"/>
      <c r="E14" s="99"/>
      <c r="F14" s="42"/>
      <c r="G14" s="43"/>
    </row>
  </sheetData>
  <mergeCells count="10">
    <mergeCell ref="A11:E11"/>
    <mergeCell ref="A12:E12"/>
    <mergeCell ref="A13:E13"/>
    <mergeCell ref="A14:E14"/>
    <mergeCell ref="A10:E10"/>
    <mergeCell ref="A2:E2"/>
    <mergeCell ref="A1:E1"/>
    <mergeCell ref="A4:E4"/>
    <mergeCell ref="A3:E3"/>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3ECD-6CCD-4AF0-BD5F-22E6F00431F2}">
  <sheetPr>
    <tabColor theme="8" tint="-0.249977111117893"/>
  </sheetPr>
  <dimension ref="A1:H18"/>
  <sheetViews>
    <sheetView workbookViewId="0">
      <selection activeCell="H1" sqref="H1"/>
    </sheetView>
  </sheetViews>
  <sheetFormatPr defaultRowHeight="15" x14ac:dyDescent="0.25"/>
  <cols>
    <col min="1" max="1" width="9.140625" style="90"/>
    <col min="2" max="2" width="19.7109375" style="72" customWidth="1"/>
    <col min="3" max="3" width="19.28515625" style="72" customWidth="1"/>
    <col min="4" max="4" width="36.42578125" style="72" customWidth="1"/>
    <col min="5" max="6" width="19.7109375" style="72" customWidth="1"/>
    <col min="7" max="7" width="21.85546875" style="72" customWidth="1"/>
    <col min="8" max="8" width="16.28515625" style="84" bestFit="1" customWidth="1"/>
    <col min="9" max="16384" width="9.140625" style="72"/>
  </cols>
  <sheetData>
    <row r="1" spans="1:8" ht="21" x14ac:dyDescent="0.25">
      <c r="A1" s="69" t="s">
        <v>13</v>
      </c>
      <c r="B1" s="69" t="s">
        <v>14</v>
      </c>
      <c r="C1" s="69" t="s">
        <v>1</v>
      </c>
      <c r="D1" s="69" t="s">
        <v>15</v>
      </c>
      <c r="E1" s="69" t="s">
        <v>4</v>
      </c>
      <c r="F1" s="69" t="s">
        <v>16</v>
      </c>
      <c r="G1" s="70" t="s">
        <v>17</v>
      </c>
      <c r="H1" s="71" t="s">
        <v>121</v>
      </c>
    </row>
    <row r="2" spans="1:8" ht="15.75" x14ac:dyDescent="0.25">
      <c r="A2" s="73">
        <v>2011</v>
      </c>
      <c r="B2" s="74">
        <f>'Historical Data'!B3 * (1+'Inputs &amp; Assumptions '!G2)</f>
        <v>3730.6059999999998</v>
      </c>
      <c r="C2" s="74">
        <f>B2*'Inputs &amp; Assumptions '!G3</f>
        <v>2238.3635999999997</v>
      </c>
      <c r="D2" s="74">
        <f>B2*'Inputs &amp; Assumptions '!G4</f>
        <v>746.12120000000004</v>
      </c>
      <c r="E2" s="74">
        <f>B2-C2-D2</f>
        <v>746.12120000000004</v>
      </c>
      <c r="F2" s="74">
        <f>E2*'Inputs &amp; Assumptions '!G5</f>
        <v>223.83636000000001</v>
      </c>
      <c r="G2" s="75">
        <f>E2-F2</f>
        <v>522.28484000000003</v>
      </c>
      <c r="H2" s="76">
        <f xml:space="preserve"> B2 - C2</f>
        <v>1492.2424000000001</v>
      </c>
    </row>
    <row r="3" spans="1:8" ht="15.75" x14ac:dyDescent="0.25">
      <c r="A3" s="77">
        <v>2012</v>
      </c>
      <c r="B3" s="78">
        <f>B2*(1+'Inputs &amp; Assumptions '!G2)</f>
        <v>4103.6666000000005</v>
      </c>
      <c r="C3" s="74">
        <f>B3*'Inputs &amp; Assumptions '!G3</f>
        <v>2462.1999600000004</v>
      </c>
      <c r="D3" s="74">
        <f>B3*'Inputs &amp; Assumptions '!G4</f>
        <v>820.73332000000016</v>
      </c>
      <c r="E3" s="74">
        <f>B3-C3-D3</f>
        <v>820.73331999999994</v>
      </c>
      <c r="F3" s="74">
        <f>E3*'Inputs &amp; Assumptions '!G5</f>
        <v>246.21999599999998</v>
      </c>
      <c r="G3" s="75">
        <f>E3-F3</f>
        <v>574.51332400000001</v>
      </c>
      <c r="H3" s="76">
        <f t="shared" ref="H3:H5" si="0" xml:space="preserve"> B3 - C3</f>
        <v>1641.4666400000001</v>
      </c>
    </row>
    <row r="4" spans="1:8" ht="15.75" x14ac:dyDescent="0.25">
      <c r="A4" s="79">
        <v>2013</v>
      </c>
      <c r="B4" s="80">
        <f>B3*(1+'Inputs &amp; Assumptions '!G2)</f>
        <v>4514.0332600000011</v>
      </c>
      <c r="C4" s="81">
        <f>B4*'Inputs &amp; Assumptions '!G3</f>
        <v>2708.4199560000006</v>
      </c>
      <c r="D4" s="81">
        <f>B4*'Inputs &amp; Assumptions '!G4</f>
        <v>902.80665200000021</v>
      </c>
      <c r="E4" s="81">
        <f>B4-C4-D4</f>
        <v>902.80665200000021</v>
      </c>
      <c r="F4" s="81">
        <f>E4*'Inputs &amp; Assumptions '!G5</f>
        <v>270.84199560000008</v>
      </c>
      <c r="G4" s="82">
        <f t="shared" ref="G4" si="1">E4-F4</f>
        <v>631.96465640000019</v>
      </c>
      <c r="H4" s="76">
        <f t="shared" si="0"/>
        <v>1805.6133040000004</v>
      </c>
    </row>
    <row r="5" spans="1:8" s="83" customFormat="1" ht="15.75" x14ac:dyDescent="0.25">
      <c r="A5" s="77">
        <v>2014</v>
      </c>
      <c r="B5" s="78">
        <f>B4*(1+'Inputs &amp; Assumptions '!G2)</f>
        <v>4965.4365860000016</v>
      </c>
      <c r="C5" s="74">
        <f>B5*'Inputs &amp; Assumptions '!G3</f>
        <v>2979.2619516000009</v>
      </c>
      <c r="D5" s="74">
        <f>B5*'Inputs &amp; Assumptions '!G4</f>
        <v>993.08731720000037</v>
      </c>
      <c r="E5" s="74">
        <f>B5-C5-D5</f>
        <v>993.08731720000037</v>
      </c>
      <c r="F5" s="74">
        <f>E5*'Inputs &amp; Assumptions '!G5</f>
        <v>297.92619516000008</v>
      </c>
      <c r="G5" s="75">
        <f>E5-F5</f>
        <v>695.16112204000024</v>
      </c>
      <c r="H5" s="76">
        <f t="shared" si="0"/>
        <v>1986.1746344000007</v>
      </c>
    </row>
    <row r="6" spans="1:8" x14ac:dyDescent="0.25">
      <c r="A6" s="72"/>
    </row>
    <row r="7" spans="1:8" x14ac:dyDescent="0.25">
      <c r="A7" s="72"/>
    </row>
    <row r="8" spans="1:8" x14ac:dyDescent="0.25">
      <c r="A8" s="72"/>
    </row>
    <row r="9" spans="1:8" x14ac:dyDescent="0.25">
      <c r="A9" s="72"/>
    </row>
    <row r="10" spans="1:8" s="83" customFormat="1" ht="15.75" x14ac:dyDescent="0.25">
      <c r="A10" s="85"/>
      <c r="B10" s="86"/>
      <c r="C10" s="87"/>
      <c r="D10" s="87"/>
      <c r="E10" s="87"/>
      <c r="F10" s="87"/>
      <c r="G10" s="87"/>
      <c r="H10" s="84"/>
    </row>
    <row r="11" spans="1:8" ht="21" x14ac:dyDescent="0.25">
      <c r="A11" s="69" t="s">
        <v>13</v>
      </c>
      <c r="B11" s="69" t="s">
        <v>14</v>
      </c>
      <c r="C11" s="69" t="s">
        <v>1</v>
      </c>
      <c r="D11" s="69" t="s">
        <v>15</v>
      </c>
      <c r="E11" s="69" t="s">
        <v>4</v>
      </c>
      <c r="F11" s="69" t="s">
        <v>16</v>
      </c>
      <c r="G11" s="69" t="s">
        <v>17</v>
      </c>
      <c r="H11" s="71" t="s">
        <v>121</v>
      </c>
    </row>
    <row r="12" spans="1:8" ht="15.75" x14ac:dyDescent="0.25">
      <c r="A12" s="88">
        <v>2026</v>
      </c>
      <c r="B12" s="86">
        <f>'Historical Data'!B4*(1+'Inputs &amp; Assumptions '!G2)</f>
        <v>28380.99</v>
      </c>
      <c r="C12" s="87">
        <f>B12*'Inputs &amp; Assumptions '!G3</f>
        <v>17028.594000000001</v>
      </c>
      <c r="D12" s="89">
        <f>B12*'Inputs &amp; Assumptions '!G4</f>
        <v>5676.1980000000003</v>
      </c>
      <c r="E12" s="53">
        <f>B12-C12-D12</f>
        <v>5676.1980000000003</v>
      </c>
      <c r="F12" s="53">
        <f>E12*'Inputs &amp; Assumptions '!G5</f>
        <v>1702.8594000000001</v>
      </c>
      <c r="G12" s="53">
        <f>E12-F12</f>
        <v>3973.3386</v>
      </c>
      <c r="H12" s="76">
        <f>B12-C12</f>
        <v>11352.396000000001</v>
      </c>
    </row>
    <row r="13" spans="1:8" ht="15.75" x14ac:dyDescent="0.25">
      <c r="A13" s="90">
        <f>A12+1</f>
        <v>2027</v>
      </c>
      <c r="B13" s="86">
        <f>B12*(1+'Inputs &amp; Assumptions '!G2)</f>
        <v>31219.089000000004</v>
      </c>
      <c r="C13" s="87">
        <f>B13*'Inputs &amp; Assumptions '!G3</f>
        <v>18731.453400000002</v>
      </c>
      <c r="D13" s="89">
        <f>B13*'Inputs &amp; Assumptions '!G4</f>
        <v>6243.8178000000007</v>
      </c>
      <c r="E13" s="53">
        <f t="shared" ref="E13:E15" si="2">B13-C13-D13</f>
        <v>6243.8178000000007</v>
      </c>
      <c r="F13" s="53">
        <f>E13*'Inputs &amp; Assumptions '!G5</f>
        <v>1873.14534</v>
      </c>
      <c r="G13" s="53">
        <f t="shared" ref="G13:G15" si="3">E13-F13</f>
        <v>4370.6724600000007</v>
      </c>
      <c r="H13" s="76">
        <f t="shared" ref="H13:H15" si="4">B13-C13</f>
        <v>12487.635600000001</v>
      </c>
    </row>
    <row r="14" spans="1:8" ht="15.75" x14ac:dyDescent="0.25">
      <c r="A14" s="90">
        <f t="shared" ref="A14:A15" si="5">A13+1</f>
        <v>2028</v>
      </c>
      <c r="B14" s="86">
        <f>B13*(1+'Inputs &amp; Assumptions '!G2)</f>
        <v>34340.997900000009</v>
      </c>
      <c r="C14" s="87">
        <f>B14*'Inputs &amp; Assumptions '!G3</f>
        <v>20604.598740000005</v>
      </c>
      <c r="D14" s="89">
        <f>B14*'Inputs &amp; Assumptions '!G4</f>
        <v>6868.1995800000022</v>
      </c>
      <c r="E14" s="53">
        <f t="shared" si="2"/>
        <v>6868.1995800000022</v>
      </c>
      <c r="F14" s="53">
        <f>E14*'Inputs &amp; Assumptions '!G5</f>
        <v>2060.4598740000006</v>
      </c>
      <c r="G14" s="53">
        <f t="shared" si="3"/>
        <v>4807.7397060000021</v>
      </c>
      <c r="H14" s="76">
        <f t="shared" si="4"/>
        <v>13736.399160000004</v>
      </c>
    </row>
    <row r="15" spans="1:8" ht="15.75" x14ac:dyDescent="0.25">
      <c r="A15" s="90">
        <f t="shared" si="5"/>
        <v>2029</v>
      </c>
      <c r="B15" s="86">
        <f>B14*(1+'Inputs &amp; Assumptions '!G2)</f>
        <v>37775.097690000017</v>
      </c>
      <c r="C15" s="87">
        <f>B15*'Inputs &amp; Assumptions '!G3</f>
        <v>22665.058614000009</v>
      </c>
      <c r="D15" s="89">
        <f>B15*'Inputs &amp; Assumptions '!G4</f>
        <v>7555.0195380000041</v>
      </c>
      <c r="E15" s="53">
        <f t="shared" si="2"/>
        <v>7555.0195380000041</v>
      </c>
      <c r="F15" s="53">
        <f>E15*'Inputs &amp; Assumptions '!G5</f>
        <v>2266.5058614000013</v>
      </c>
      <c r="G15" s="53">
        <f t="shared" si="3"/>
        <v>5288.5136766000032</v>
      </c>
      <c r="H15" s="76">
        <f t="shared" si="4"/>
        <v>15110.039076000008</v>
      </c>
    </row>
    <row r="16" spans="1:8" ht="15.75" x14ac:dyDescent="0.25">
      <c r="B16" s="86"/>
      <c r="C16" s="87"/>
      <c r="D16" s="83"/>
    </row>
    <row r="17" spans="1:4" ht="15.75" x14ac:dyDescent="0.25">
      <c r="A17" s="88"/>
      <c r="B17" s="86"/>
      <c r="C17" s="87"/>
      <c r="D17" s="83"/>
    </row>
    <row r="18" spans="1:4" x14ac:dyDescent="0.25">
      <c r="A18" s="88"/>
      <c r="B18" s="83"/>
      <c r="C18" s="83"/>
      <c r="D18" s="8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51D07-4381-4122-A354-0809599287D1}">
  <sheetPr>
    <tabColor theme="8" tint="-0.499984740745262"/>
  </sheetPr>
  <dimension ref="A1:D12"/>
  <sheetViews>
    <sheetView zoomScale="96" zoomScaleNormal="100" workbookViewId="0">
      <selection activeCell="D22" sqref="D22"/>
    </sheetView>
  </sheetViews>
  <sheetFormatPr defaultRowHeight="15" x14ac:dyDescent="0.25"/>
  <cols>
    <col min="2" max="2" width="20.28515625" customWidth="1"/>
    <col min="3" max="3" width="19.5703125" customWidth="1"/>
    <col min="4" max="4" width="20.28515625" customWidth="1"/>
  </cols>
  <sheetData>
    <row r="1" spans="1:4" ht="15.75" thickBot="1" x14ac:dyDescent="0.3"/>
    <row r="2" spans="1:4" ht="27" thickBot="1" x14ac:dyDescent="0.5">
      <c r="A2" s="101" t="s">
        <v>18</v>
      </c>
      <c r="B2" s="102"/>
      <c r="C2" s="102"/>
      <c r="D2" s="103"/>
    </row>
    <row r="3" spans="1:4" ht="15.75" x14ac:dyDescent="0.25">
      <c r="A3" s="5" t="s">
        <v>0</v>
      </c>
      <c r="B3" s="6" t="s">
        <v>6</v>
      </c>
      <c r="C3" s="6" t="s">
        <v>3</v>
      </c>
      <c r="D3" s="7" t="s">
        <v>121</v>
      </c>
    </row>
    <row r="4" spans="1:4" x14ac:dyDescent="0.25">
      <c r="A4" s="4">
        <f>'Current Year Forecast'!A2</f>
        <v>2011</v>
      </c>
      <c r="B4" s="3">
        <f>'Current Year Forecast'!B2</f>
        <v>3730.6059999999998</v>
      </c>
      <c r="C4" s="3">
        <f>'Current Year Forecast'!G2</f>
        <v>522.28484000000003</v>
      </c>
      <c r="D4" s="24">
        <f>'Current Year Forecast'!H2</f>
        <v>1492.2424000000001</v>
      </c>
    </row>
    <row r="5" spans="1:4" x14ac:dyDescent="0.25">
      <c r="A5" s="4">
        <f>'Current Year Forecast'!A3</f>
        <v>2012</v>
      </c>
      <c r="B5" s="3">
        <f>'Current Year Forecast'!B3</f>
        <v>4103.6666000000005</v>
      </c>
      <c r="C5" s="3">
        <f>'Current Year Forecast'!G3</f>
        <v>574.51332400000001</v>
      </c>
      <c r="D5" s="24">
        <f>'Current Year Forecast'!H3</f>
        <v>1641.4666400000001</v>
      </c>
    </row>
    <row r="6" spans="1:4" x14ac:dyDescent="0.25">
      <c r="A6" s="4">
        <f>'Current Year Forecast'!A4</f>
        <v>2013</v>
      </c>
      <c r="B6" s="3">
        <f>'Current Year Forecast'!B4</f>
        <v>4514.0332600000011</v>
      </c>
      <c r="C6" s="3">
        <f>'Current Year Forecast'!G4</f>
        <v>631.96465640000019</v>
      </c>
      <c r="D6" s="24">
        <f>'Current Year Forecast'!H4</f>
        <v>1805.6133040000004</v>
      </c>
    </row>
    <row r="7" spans="1:4" x14ac:dyDescent="0.25">
      <c r="A7" s="4">
        <f>'Current Year Forecast'!A5</f>
        <v>2014</v>
      </c>
      <c r="B7" s="3">
        <f>'Current Year Forecast'!B5</f>
        <v>4965.4365860000016</v>
      </c>
      <c r="C7" s="3">
        <f>'Current Year Forecast'!G5</f>
        <v>695.16112204000024</v>
      </c>
      <c r="D7" s="24">
        <f>'Current Year Forecast'!H5</f>
        <v>1986.1746344000007</v>
      </c>
    </row>
    <row r="8" spans="1:4" x14ac:dyDescent="0.25">
      <c r="A8" s="4"/>
      <c r="B8" s="3"/>
      <c r="C8" s="3"/>
      <c r="D8" s="8"/>
    </row>
    <row r="9" spans="1:4" x14ac:dyDescent="0.25">
      <c r="A9" s="4">
        <f>'Current Year Forecast'!A12</f>
        <v>2026</v>
      </c>
      <c r="B9" s="3">
        <f>'Current Year Forecast'!B12</f>
        <v>28380.99</v>
      </c>
      <c r="C9" s="3">
        <f>'Current Year Forecast'!G12</f>
        <v>3973.3386</v>
      </c>
      <c r="D9" s="25">
        <f>'Current Year Forecast'!H12</f>
        <v>11352.396000000001</v>
      </c>
    </row>
    <row r="10" spans="1:4" x14ac:dyDescent="0.25">
      <c r="A10" s="4">
        <f>'Current Year Forecast'!A13</f>
        <v>2027</v>
      </c>
      <c r="B10" s="3">
        <f>'Current Year Forecast'!B13</f>
        <v>31219.089000000004</v>
      </c>
      <c r="C10" s="3">
        <f>'Current Year Forecast'!G13</f>
        <v>4370.6724600000007</v>
      </c>
      <c r="D10" s="25">
        <f>'Current Year Forecast'!H13</f>
        <v>12487.635600000001</v>
      </c>
    </row>
    <row r="11" spans="1:4" x14ac:dyDescent="0.25">
      <c r="A11" s="4">
        <f>'Current Year Forecast'!A14</f>
        <v>2028</v>
      </c>
      <c r="B11" s="3">
        <f>'Current Year Forecast'!B14</f>
        <v>34340.997900000009</v>
      </c>
      <c r="C11" s="3">
        <f>'Current Year Forecast'!G14</f>
        <v>4807.7397060000021</v>
      </c>
      <c r="D11" s="25">
        <f>'Current Year Forecast'!H14</f>
        <v>13736.399160000004</v>
      </c>
    </row>
    <row r="12" spans="1:4" x14ac:dyDescent="0.25">
      <c r="A12" s="4">
        <f>'Current Year Forecast'!A15</f>
        <v>2029</v>
      </c>
      <c r="B12" s="3">
        <f>'Current Year Forecast'!B15</f>
        <v>37775.097690000017</v>
      </c>
      <c r="C12" s="3">
        <f>'Current Year Forecast'!G15</f>
        <v>5288.5136766000032</v>
      </c>
      <c r="D12" s="25">
        <f>'Current Year Forecast'!H15</f>
        <v>15110.039076000008</v>
      </c>
    </row>
  </sheetData>
  <mergeCells count="1">
    <mergeCell ref="A2:D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0814-743C-4858-8D8C-8426F211D9B3}">
  <sheetPr>
    <tabColor theme="1" tint="0.249977111117893"/>
  </sheetPr>
  <dimension ref="A1:B80"/>
  <sheetViews>
    <sheetView zoomScale="80" workbookViewId="0">
      <pane ySplit="5280" topLeftCell="A77" activePane="bottomLeft"/>
      <selection pane="bottomLeft" activeCell="A22" sqref="A22:XFD22"/>
    </sheetView>
  </sheetViews>
  <sheetFormatPr defaultRowHeight="15" x14ac:dyDescent="0.25"/>
  <cols>
    <col min="1" max="1" width="39.28515625" bestFit="1" customWidth="1"/>
    <col min="2" max="2" width="13.42578125" bestFit="1" customWidth="1"/>
    <col min="3" max="3" width="24" bestFit="1" customWidth="1"/>
  </cols>
  <sheetData>
    <row r="1" spans="1:2" x14ac:dyDescent="0.25">
      <c r="A1" s="26" t="s">
        <v>122</v>
      </c>
      <c r="B1" t="s">
        <v>124</v>
      </c>
    </row>
    <row r="2" spans="1:2" x14ac:dyDescent="0.25">
      <c r="A2" s="27" t="s">
        <v>20</v>
      </c>
      <c r="B2" s="20">
        <v>26086.5</v>
      </c>
    </row>
    <row r="3" spans="1:2" x14ac:dyDescent="0.25">
      <c r="A3" s="27" t="s">
        <v>67</v>
      </c>
      <c r="B3" s="20">
        <v>350.4</v>
      </c>
    </row>
    <row r="4" spans="1:2" x14ac:dyDescent="0.25">
      <c r="A4" s="27" t="s">
        <v>102</v>
      </c>
      <c r="B4" s="20">
        <v>215.8</v>
      </c>
    </row>
    <row r="5" spans="1:2" x14ac:dyDescent="0.25">
      <c r="A5" s="27" t="s">
        <v>68</v>
      </c>
      <c r="B5" s="20">
        <v>165.6</v>
      </c>
    </row>
    <row r="6" spans="1:2" x14ac:dyDescent="0.25">
      <c r="A6" s="27" t="s">
        <v>69</v>
      </c>
      <c r="B6" s="20">
        <v>163.19999999999999</v>
      </c>
    </row>
    <row r="7" spans="1:2" x14ac:dyDescent="0.25">
      <c r="A7" s="27" t="s">
        <v>104</v>
      </c>
      <c r="B7" s="20">
        <v>97.75</v>
      </c>
    </row>
    <row r="8" spans="1:2" x14ac:dyDescent="0.25">
      <c r="A8" s="27" t="s">
        <v>91</v>
      </c>
      <c r="B8" s="20">
        <v>90</v>
      </c>
    </row>
    <row r="9" spans="1:2" x14ac:dyDescent="0.25">
      <c r="A9" s="27" t="s">
        <v>47</v>
      </c>
      <c r="B9" s="20">
        <v>90</v>
      </c>
    </row>
    <row r="10" spans="1:2" x14ac:dyDescent="0.25">
      <c r="A10" s="27" t="s">
        <v>30</v>
      </c>
      <c r="B10" s="20">
        <v>76.5</v>
      </c>
    </row>
    <row r="11" spans="1:2" x14ac:dyDescent="0.25">
      <c r="A11" s="27" t="s">
        <v>99</v>
      </c>
      <c r="B11" s="20">
        <v>70.8</v>
      </c>
    </row>
    <row r="12" spans="1:2" x14ac:dyDescent="0.25">
      <c r="A12" s="27" t="s">
        <v>96</v>
      </c>
      <c r="B12" s="20">
        <v>70.8</v>
      </c>
    </row>
    <row r="13" spans="1:2" x14ac:dyDescent="0.25">
      <c r="A13" s="27" t="s">
        <v>24</v>
      </c>
      <c r="B13" s="20">
        <v>66</v>
      </c>
    </row>
    <row r="14" spans="1:2" x14ac:dyDescent="0.25">
      <c r="A14" s="27" t="s">
        <v>22</v>
      </c>
      <c r="B14" s="20">
        <v>61.019999999999996</v>
      </c>
    </row>
    <row r="15" spans="1:2" x14ac:dyDescent="0.25">
      <c r="A15" s="27" t="s">
        <v>26</v>
      </c>
      <c r="B15" s="20">
        <v>61.019999999999996</v>
      </c>
    </row>
    <row r="16" spans="1:2" x14ac:dyDescent="0.25">
      <c r="A16" s="27" t="s">
        <v>58</v>
      </c>
      <c r="B16" s="20">
        <v>59.4</v>
      </c>
    </row>
    <row r="17" spans="1:2" x14ac:dyDescent="0.25">
      <c r="A17" s="27" t="s">
        <v>28</v>
      </c>
      <c r="B17" s="20">
        <v>57.629999999999995</v>
      </c>
    </row>
    <row r="18" spans="1:2" x14ac:dyDescent="0.25">
      <c r="A18" s="27" t="s">
        <v>64</v>
      </c>
      <c r="B18" s="20">
        <v>55.6</v>
      </c>
    </row>
    <row r="19" spans="1:2" x14ac:dyDescent="0.25">
      <c r="A19" s="27" t="s">
        <v>37</v>
      </c>
      <c r="B19" s="20">
        <v>54.08</v>
      </c>
    </row>
    <row r="20" spans="1:2" x14ac:dyDescent="0.25">
      <c r="A20" s="27" t="s">
        <v>57</v>
      </c>
      <c r="B20" s="20">
        <v>54</v>
      </c>
    </row>
    <row r="21" spans="1:2" x14ac:dyDescent="0.25">
      <c r="A21" s="27" t="s">
        <v>95</v>
      </c>
      <c r="B21" s="20">
        <v>53.1</v>
      </c>
    </row>
    <row r="22" spans="1:2" x14ac:dyDescent="0.25">
      <c r="A22" s="27" t="s">
        <v>51</v>
      </c>
      <c r="B22" s="20">
        <v>46.8</v>
      </c>
    </row>
    <row r="23" spans="1:2" x14ac:dyDescent="0.25">
      <c r="A23" s="27" t="s">
        <v>97</v>
      </c>
      <c r="B23" s="20">
        <v>46.8</v>
      </c>
    </row>
    <row r="24" spans="1:2" x14ac:dyDescent="0.25">
      <c r="A24" s="27" t="s">
        <v>98</v>
      </c>
      <c r="B24" s="20">
        <v>46.8</v>
      </c>
    </row>
    <row r="25" spans="1:2" x14ac:dyDescent="0.25">
      <c r="A25" s="27" t="s">
        <v>29</v>
      </c>
      <c r="B25" s="20">
        <v>45.900000000000006</v>
      </c>
    </row>
    <row r="26" spans="1:2" x14ac:dyDescent="0.25">
      <c r="A26" s="27" t="s">
        <v>54</v>
      </c>
      <c r="B26" s="20">
        <v>45</v>
      </c>
    </row>
    <row r="27" spans="1:2" x14ac:dyDescent="0.25">
      <c r="A27" s="27" t="s">
        <v>49</v>
      </c>
      <c r="B27" s="20">
        <v>45</v>
      </c>
    </row>
    <row r="28" spans="1:2" x14ac:dyDescent="0.25">
      <c r="A28" s="27" t="s">
        <v>93</v>
      </c>
      <c r="B28" s="20">
        <v>40.799999999999997</v>
      </c>
    </row>
    <row r="29" spans="1:2" x14ac:dyDescent="0.25">
      <c r="A29" s="27" t="s">
        <v>53</v>
      </c>
      <c r="B29" s="20">
        <v>39.6</v>
      </c>
    </row>
    <row r="30" spans="1:2" x14ac:dyDescent="0.25">
      <c r="A30" s="27" t="s">
        <v>72</v>
      </c>
      <c r="B30" s="20">
        <v>34.799999999999997</v>
      </c>
    </row>
    <row r="31" spans="1:2" x14ac:dyDescent="0.25">
      <c r="A31" s="27" t="s">
        <v>31</v>
      </c>
      <c r="B31" s="20">
        <v>33.299999999999997</v>
      </c>
    </row>
    <row r="32" spans="1:2" x14ac:dyDescent="0.25">
      <c r="A32" s="27" t="s">
        <v>32</v>
      </c>
      <c r="B32" s="20">
        <v>33.299999999999997</v>
      </c>
    </row>
    <row r="33" spans="1:2" x14ac:dyDescent="0.25">
      <c r="A33" s="27" t="s">
        <v>45</v>
      </c>
      <c r="B33" s="20">
        <v>31.8</v>
      </c>
    </row>
    <row r="34" spans="1:2" x14ac:dyDescent="0.25">
      <c r="A34" s="27" t="s">
        <v>44</v>
      </c>
      <c r="B34" s="20">
        <v>31.8</v>
      </c>
    </row>
    <row r="35" spans="1:2" x14ac:dyDescent="0.25">
      <c r="A35" s="27" t="s">
        <v>103</v>
      </c>
      <c r="B35" s="20">
        <v>30.6</v>
      </c>
    </row>
    <row r="36" spans="1:2" x14ac:dyDescent="0.25">
      <c r="A36" s="27" t="s">
        <v>94</v>
      </c>
      <c r="B36" s="20">
        <v>30</v>
      </c>
    </row>
    <row r="37" spans="1:2" x14ac:dyDescent="0.25">
      <c r="A37" s="27" t="s">
        <v>78</v>
      </c>
      <c r="B37" s="20">
        <v>30</v>
      </c>
    </row>
    <row r="38" spans="1:2" x14ac:dyDescent="0.25">
      <c r="A38" s="27" t="s">
        <v>39</v>
      </c>
      <c r="B38" s="20">
        <v>30</v>
      </c>
    </row>
    <row r="39" spans="1:2" x14ac:dyDescent="0.25">
      <c r="A39" s="27" t="s">
        <v>77</v>
      </c>
      <c r="B39" s="20">
        <v>30</v>
      </c>
    </row>
    <row r="40" spans="1:2" x14ac:dyDescent="0.25">
      <c r="A40" s="27" t="s">
        <v>40</v>
      </c>
      <c r="B40" s="20">
        <v>25.5</v>
      </c>
    </row>
    <row r="41" spans="1:2" x14ac:dyDescent="0.25">
      <c r="A41" s="27" t="s">
        <v>33</v>
      </c>
      <c r="B41" s="20">
        <v>25.5</v>
      </c>
    </row>
    <row r="42" spans="1:2" x14ac:dyDescent="0.25">
      <c r="A42" s="27" t="s">
        <v>65</v>
      </c>
      <c r="B42" s="20">
        <v>25.2</v>
      </c>
    </row>
    <row r="43" spans="1:2" x14ac:dyDescent="0.25">
      <c r="A43" s="27" t="s">
        <v>73</v>
      </c>
      <c r="B43" s="20">
        <v>24.75</v>
      </c>
    </row>
    <row r="44" spans="1:2" x14ac:dyDescent="0.25">
      <c r="A44" s="27" t="s">
        <v>101</v>
      </c>
      <c r="B44" s="20">
        <v>23.4</v>
      </c>
    </row>
    <row r="45" spans="1:2" x14ac:dyDescent="0.25">
      <c r="A45" s="27" t="s">
        <v>41</v>
      </c>
      <c r="B45" s="20">
        <v>19.899999999999999</v>
      </c>
    </row>
    <row r="46" spans="1:2" x14ac:dyDescent="0.25">
      <c r="A46" s="27" t="s">
        <v>63</v>
      </c>
      <c r="B46" s="20">
        <v>19.8</v>
      </c>
    </row>
    <row r="47" spans="1:2" x14ac:dyDescent="0.25">
      <c r="A47" s="27" t="s">
        <v>70</v>
      </c>
      <c r="B47" s="20">
        <v>19.5</v>
      </c>
    </row>
    <row r="48" spans="1:2" x14ac:dyDescent="0.25">
      <c r="A48" s="27" t="s">
        <v>71</v>
      </c>
      <c r="B48" s="20">
        <v>19.5</v>
      </c>
    </row>
    <row r="49" spans="1:2" x14ac:dyDescent="0.25">
      <c r="A49" s="27" t="s">
        <v>74</v>
      </c>
      <c r="B49" s="20">
        <v>19.5</v>
      </c>
    </row>
    <row r="50" spans="1:2" x14ac:dyDescent="0.25">
      <c r="A50" s="27" t="s">
        <v>42</v>
      </c>
      <c r="B50" s="20">
        <v>17.850000000000001</v>
      </c>
    </row>
    <row r="51" spans="1:2" x14ac:dyDescent="0.25">
      <c r="A51" s="27" t="s">
        <v>43</v>
      </c>
      <c r="B51" s="20">
        <v>17.850000000000001</v>
      </c>
    </row>
    <row r="52" spans="1:2" x14ac:dyDescent="0.25">
      <c r="A52" s="27" t="s">
        <v>46</v>
      </c>
      <c r="B52" s="20">
        <v>17.850000000000001</v>
      </c>
    </row>
    <row r="53" spans="1:2" x14ac:dyDescent="0.25">
      <c r="A53" s="27" t="s">
        <v>52</v>
      </c>
      <c r="B53" s="20">
        <v>17</v>
      </c>
    </row>
    <row r="54" spans="1:2" x14ac:dyDescent="0.25">
      <c r="A54" s="27" t="s">
        <v>92</v>
      </c>
      <c r="B54" s="20">
        <v>15.6</v>
      </c>
    </row>
    <row r="55" spans="1:2" x14ac:dyDescent="0.25">
      <c r="A55" s="27" t="s">
        <v>34</v>
      </c>
      <c r="B55" s="20">
        <v>14.85</v>
      </c>
    </row>
    <row r="56" spans="1:2" x14ac:dyDescent="0.25">
      <c r="A56" s="27" t="s">
        <v>36</v>
      </c>
      <c r="B56" s="20">
        <v>14.85</v>
      </c>
    </row>
    <row r="57" spans="1:2" x14ac:dyDescent="0.25">
      <c r="A57" s="27" t="s">
        <v>35</v>
      </c>
      <c r="B57" s="20">
        <v>14.85</v>
      </c>
    </row>
    <row r="58" spans="1:2" x14ac:dyDescent="0.25">
      <c r="A58" s="27" t="s">
        <v>90</v>
      </c>
      <c r="B58" s="20">
        <v>14.85</v>
      </c>
    </row>
    <row r="59" spans="1:2" x14ac:dyDescent="0.25">
      <c r="A59" s="27" t="s">
        <v>62</v>
      </c>
      <c r="B59" s="20">
        <v>12.72</v>
      </c>
    </row>
    <row r="60" spans="1:2" x14ac:dyDescent="0.25">
      <c r="A60" s="27" t="s">
        <v>60</v>
      </c>
      <c r="B60" s="20">
        <v>12.72</v>
      </c>
    </row>
    <row r="61" spans="1:2" x14ac:dyDescent="0.25">
      <c r="A61" s="27" t="s">
        <v>59</v>
      </c>
      <c r="B61" s="20">
        <v>12.72</v>
      </c>
    </row>
    <row r="62" spans="1:2" x14ac:dyDescent="0.25">
      <c r="A62" s="27" t="s">
        <v>61</v>
      </c>
      <c r="B62" s="20">
        <v>12.72</v>
      </c>
    </row>
    <row r="63" spans="1:2" x14ac:dyDescent="0.25">
      <c r="A63" s="27" t="s">
        <v>88</v>
      </c>
      <c r="B63" s="20">
        <v>12.6</v>
      </c>
    </row>
    <row r="64" spans="1:2" x14ac:dyDescent="0.25">
      <c r="A64" s="27" t="s">
        <v>38</v>
      </c>
      <c r="B64" s="20">
        <v>12.6</v>
      </c>
    </row>
    <row r="65" spans="1:2" x14ac:dyDescent="0.25">
      <c r="A65" s="27" t="s">
        <v>50</v>
      </c>
      <c r="B65" s="20">
        <v>10.199999999999999</v>
      </c>
    </row>
    <row r="66" spans="1:2" x14ac:dyDescent="0.25">
      <c r="A66" s="27" t="s">
        <v>55</v>
      </c>
      <c r="B66" s="20">
        <v>10.08</v>
      </c>
    </row>
    <row r="67" spans="1:2" x14ac:dyDescent="0.25">
      <c r="A67" s="27" t="s">
        <v>100</v>
      </c>
      <c r="B67" s="20">
        <v>10.08</v>
      </c>
    </row>
    <row r="68" spans="1:2" x14ac:dyDescent="0.25">
      <c r="A68" s="27" t="s">
        <v>89</v>
      </c>
      <c r="B68" s="20">
        <v>9.9</v>
      </c>
    </row>
    <row r="69" spans="1:2" x14ac:dyDescent="0.25">
      <c r="A69" s="27" t="s">
        <v>76</v>
      </c>
      <c r="B69" s="20">
        <v>7.5</v>
      </c>
    </row>
    <row r="70" spans="1:2" x14ac:dyDescent="0.25">
      <c r="A70" s="27" t="s">
        <v>106</v>
      </c>
      <c r="B70" s="20">
        <v>5.07</v>
      </c>
    </row>
    <row r="71" spans="1:2" x14ac:dyDescent="0.25">
      <c r="A71" s="27" t="s">
        <v>75</v>
      </c>
      <c r="B71" s="20">
        <v>4.2</v>
      </c>
    </row>
    <row r="72" spans="1:2" x14ac:dyDescent="0.25">
      <c r="A72" s="27" t="s">
        <v>81</v>
      </c>
      <c r="B72" s="20">
        <v>4.2</v>
      </c>
    </row>
    <row r="73" spans="1:2" x14ac:dyDescent="0.25">
      <c r="A73" s="27" t="s">
        <v>108</v>
      </c>
      <c r="B73" s="20">
        <v>2.95</v>
      </c>
    </row>
    <row r="74" spans="1:2" x14ac:dyDescent="0.25">
      <c r="A74" s="27" t="s">
        <v>83</v>
      </c>
      <c r="B74" s="20">
        <v>2.95</v>
      </c>
    </row>
    <row r="75" spans="1:2" x14ac:dyDescent="0.25">
      <c r="A75" s="27" t="s">
        <v>85</v>
      </c>
      <c r="B75" s="20">
        <v>2.95</v>
      </c>
    </row>
    <row r="76" spans="1:2" x14ac:dyDescent="0.25">
      <c r="A76" s="27" t="s">
        <v>105</v>
      </c>
      <c r="B76" s="20">
        <v>2.5499999999999998</v>
      </c>
    </row>
    <row r="77" spans="1:2" x14ac:dyDescent="0.25">
      <c r="A77" s="27" t="s">
        <v>107</v>
      </c>
      <c r="B77" s="20">
        <v>1.95</v>
      </c>
    </row>
    <row r="78" spans="1:2" x14ac:dyDescent="0.25">
      <c r="A78" s="27" t="s">
        <v>79</v>
      </c>
      <c r="B78" s="20">
        <v>1.25</v>
      </c>
    </row>
    <row r="79" spans="1:2" x14ac:dyDescent="0.25">
      <c r="A79" s="27" t="s">
        <v>80</v>
      </c>
      <c r="B79" s="20">
        <v>0.85</v>
      </c>
    </row>
    <row r="80" spans="1:2" x14ac:dyDescent="0.25">
      <c r="A80" s="27" t="s">
        <v>123</v>
      </c>
      <c r="B80" s="20">
        <v>29192.359999999997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C257B-EC1A-4FC1-A8BC-E0FD3B938F8A}">
  <sheetPr>
    <tabColor theme="1" tint="4.9989318521683403E-2"/>
  </sheetPr>
  <dimension ref="A1:K116"/>
  <sheetViews>
    <sheetView zoomScaleNormal="100" workbookViewId="0">
      <selection activeCell="C22" sqref="C22"/>
    </sheetView>
  </sheetViews>
  <sheetFormatPr defaultRowHeight="15" x14ac:dyDescent="0.25"/>
  <cols>
    <col min="2" max="2" width="13.28515625" style="33" customWidth="1"/>
    <col min="3" max="3" width="18.28515625" style="30" customWidth="1"/>
    <col min="4" max="4" width="18.28515625" customWidth="1"/>
  </cols>
  <sheetData>
    <row r="1" spans="1:11" ht="15.75" x14ac:dyDescent="0.25">
      <c r="A1" s="5" t="s">
        <v>0</v>
      </c>
      <c r="B1" s="31" t="s">
        <v>3</v>
      </c>
      <c r="C1" s="28" t="s">
        <v>125</v>
      </c>
      <c r="D1" s="9"/>
      <c r="E1" s="10"/>
      <c r="F1" s="21"/>
      <c r="G1" s="9"/>
      <c r="H1" s="9"/>
      <c r="I1" s="12"/>
      <c r="J1" s="12"/>
      <c r="K1" s="23"/>
    </row>
    <row r="2" spans="1:11" x14ac:dyDescent="0.25">
      <c r="A2" s="4">
        <f>Dashboard!A4</f>
        <v>2011</v>
      </c>
      <c r="B2" s="32">
        <f>Dashboard!C4</f>
        <v>522.28484000000003</v>
      </c>
      <c r="C2" s="29">
        <f xml:space="preserve"> (B3 - B2) / B2</f>
        <v>9.999999999999995E-2</v>
      </c>
      <c r="D2" s="2"/>
      <c r="E2" s="2"/>
      <c r="F2" s="16"/>
      <c r="G2" s="13"/>
      <c r="H2" s="1"/>
      <c r="J2" s="17"/>
    </row>
    <row r="3" spans="1:11" x14ac:dyDescent="0.25">
      <c r="A3" s="4">
        <f>Dashboard!A5</f>
        <v>2012</v>
      </c>
      <c r="B3" s="32">
        <f>Dashboard!C5</f>
        <v>574.51332400000001</v>
      </c>
      <c r="C3" s="29">
        <f t="shared" ref="C3:C9" si="0" xml:space="preserve"> (B4 - B3) / B3</f>
        <v>0.10000000000000031</v>
      </c>
      <c r="D3" s="2"/>
      <c r="E3" s="2"/>
      <c r="F3" s="16"/>
      <c r="G3" s="13"/>
      <c r="H3" s="1"/>
      <c r="J3" s="17"/>
    </row>
    <row r="4" spans="1:11" x14ac:dyDescent="0.25">
      <c r="A4" s="4">
        <f>Dashboard!A6</f>
        <v>2013</v>
      </c>
      <c r="B4" s="32">
        <f>Dashboard!C6</f>
        <v>631.96465640000019</v>
      </c>
      <c r="C4" s="29">
        <f t="shared" si="0"/>
        <v>0.10000000000000003</v>
      </c>
      <c r="D4" s="2"/>
      <c r="E4" s="2"/>
      <c r="F4" s="16"/>
      <c r="G4" s="13"/>
      <c r="H4" s="1"/>
      <c r="J4" s="17"/>
    </row>
    <row r="5" spans="1:11" x14ac:dyDescent="0.25">
      <c r="A5" s="4">
        <f>Dashboard!A7</f>
        <v>2014</v>
      </c>
      <c r="B5" s="32">
        <f>Dashboard!C7</f>
        <v>695.16112204000024</v>
      </c>
      <c r="C5" s="29"/>
      <c r="D5" s="2"/>
      <c r="E5" s="2"/>
      <c r="F5" s="16"/>
      <c r="G5" s="13"/>
      <c r="H5" s="1"/>
      <c r="J5" s="17"/>
    </row>
    <row r="6" spans="1:11" x14ac:dyDescent="0.25">
      <c r="A6" s="4"/>
      <c r="B6" s="32"/>
      <c r="C6" s="29"/>
      <c r="D6" s="2"/>
      <c r="E6" s="2"/>
      <c r="F6" s="16"/>
      <c r="G6" s="13"/>
      <c r="H6" s="1"/>
      <c r="J6" s="17"/>
    </row>
    <row r="7" spans="1:11" x14ac:dyDescent="0.25">
      <c r="A7" s="4">
        <f>Dashboard!A9</f>
        <v>2026</v>
      </c>
      <c r="B7" s="32">
        <f>Dashboard!C9</f>
        <v>3973.3386</v>
      </c>
      <c r="C7" s="29">
        <f t="shared" si="0"/>
        <v>0.10000000000000016</v>
      </c>
      <c r="D7" s="2"/>
      <c r="E7" s="2"/>
      <c r="F7" s="16"/>
      <c r="G7" s="13"/>
      <c r="H7" s="1"/>
      <c r="J7" s="17"/>
    </row>
    <row r="8" spans="1:11" x14ac:dyDescent="0.25">
      <c r="A8" s="4">
        <f>Dashboard!A10</f>
        <v>2027</v>
      </c>
      <c r="B8" s="32">
        <f>Dashboard!C10</f>
        <v>4370.6724600000007</v>
      </c>
      <c r="C8" s="29">
        <f t="shared" si="0"/>
        <v>0.10000000000000031</v>
      </c>
      <c r="D8" s="2"/>
      <c r="E8" s="2"/>
      <c r="F8" s="16"/>
      <c r="G8" s="13"/>
      <c r="H8" s="1"/>
      <c r="J8" s="17"/>
    </row>
    <row r="9" spans="1:11" x14ac:dyDescent="0.25">
      <c r="A9" s="4">
        <f>Dashboard!A11</f>
        <v>2028</v>
      </c>
      <c r="B9" s="32">
        <f>Dashboard!C11</f>
        <v>4807.7397060000021</v>
      </c>
      <c r="C9" s="29">
        <f t="shared" si="0"/>
        <v>0.10000000000000019</v>
      </c>
      <c r="D9" s="2"/>
      <c r="E9" s="2"/>
      <c r="F9" s="16"/>
      <c r="G9" s="13"/>
      <c r="H9" s="1"/>
      <c r="J9" s="17"/>
    </row>
    <row r="10" spans="1:11" x14ac:dyDescent="0.25">
      <c r="A10" s="4">
        <f>Dashboard!A12</f>
        <v>2029</v>
      </c>
      <c r="B10" s="32">
        <f>Dashboard!C12</f>
        <v>5288.5136766000032</v>
      </c>
      <c r="C10" s="104"/>
      <c r="D10" s="2"/>
      <c r="E10" s="2"/>
      <c r="F10" s="16"/>
      <c r="G10" s="13"/>
      <c r="H10" s="1"/>
      <c r="J10" s="17"/>
    </row>
    <row r="11" spans="1:11" x14ac:dyDescent="0.25">
      <c r="A11" s="2"/>
      <c r="B11" s="32"/>
      <c r="C11" s="106"/>
      <c r="D11" s="2"/>
      <c r="E11" s="2"/>
      <c r="F11" s="16"/>
      <c r="G11" s="13"/>
      <c r="H11" s="1"/>
      <c r="J11" s="17"/>
    </row>
    <row r="12" spans="1:11" x14ac:dyDescent="0.25">
      <c r="A12" s="2"/>
      <c r="B12" s="32"/>
      <c r="C12" s="106"/>
      <c r="D12" s="2"/>
      <c r="E12" s="2"/>
      <c r="F12" s="16"/>
      <c r="G12" s="13"/>
      <c r="H12" s="1"/>
      <c r="J12" s="17"/>
    </row>
    <row r="13" spans="1:11" x14ac:dyDescent="0.25">
      <c r="A13" s="2"/>
      <c r="B13" s="32"/>
      <c r="C13" s="106"/>
      <c r="D13" s="2"/>
      <c r="E13" s="2"/>
      <c r="F13" s="16"/>
      <c r="G13" s="13"/>
      <c r="H13" s="1"/>
      <c r="J13" s="17"/>
    </row>
    <row r="14" spans="1:11" x14ac:dyDescent="0.25">
      <c r="A14" s="2"/>
      <c r="B14" s="32"/>
      <c r="C14" s="106"/>
      <c r="D14" s="2"/>
      <c r="E14" s="2"/>
      <c r="F14" s="16"/>
      <c r="G14" s="13"/>
      <c r="H14" s="1"/>
      <c r="J14" s="17"/>
    </row>
    <row r="15" spans="1:11" x14ac:dyDescent="0.25">
      <c r="A15" s="2"/>
      <c r="B15" s="32"/>
      <c r="C15" s="106"/>
      <c r="D15" s="2"/>
      <c r="E15" s="2"/>
      <c r="F15" s="16"/>
      <c r="G15" s="13"/>
      <c r="H15" s="1"/>
      <c r="J15" s="17"/>
    </row>
    <row r="16" spans="1:11" x14ac:dyDescent="0.25">
      <c r="A16" s="2"/>
      <c r="B16" s="32"/>
      <c r="C16" s="106"/>
      <c r="D16" s="2"/>
      <c r="E16" s="2"/>
      <c r="F16" s="16"/>
      <c r="G16" s="13"/>
      <c r="H16" s="1"/>
      <c r="J16" s="17"/>
    </row>
    <row r="17" spans="1:10" x14ac:dyDescent="0.25">
      <c r="A17" s="2"/>
      <c r="B17" s="32"/>
      <c r="C17" s="106"/>
      <c r="D17" s="2"/>
      <c r="E17" s="2"/>
      <c r="F17" s="16"/>
      <c r="G17" s="13"/>
      <c r="H17" s="1"/>
      <c r="J17" s="17"/>
    </row>
    <row r="18" spans="1:10" x14ac:dyDescent="0.25">
      <c r="A18" s="2"/>
      <c r="B18" s="32"/>
      <c r="C18" s="106"/>
      <c r="D18" s="2"/>
      <c r="E18" s="2"/>
      <c r="F18" s="16"/>
      <c r="G18" s="13"/>
      <c r="H18" s="1"/>
      <c r="J18" s="17"/>
    </row>
    <row r="19" spans="1:10" x14ac:dyDescent="0.25">
      <c r="A19" s="2"/>
      <c r="B19" s="32"/>
      <c r="C19" s="106"/>
      <c r="D19" s="2"/>
      <c r="E19" s="2"/>
      <c r="F19" s="16"/>
      <c r="G19" s="13"/>
      <c r="H19" s="1"/>
      <c r="J19" s="17"/>
    </row>
    <row r="20" spans="1:10" x14ac:dyDescent="0.25">
      <c r="A20" s="2"/>
      <c r="B20" s="32"/>
      <c r="C20" s="106"/>
      <c r="D20" s="2"/>
      <c r="E20" s="2"/>
      <c r="F20" s="16"/>
      <c r="G20" s="13"/>
      <c r="H20" s="1"/>
      <c r="J20" s="17"/>
    </row>
    <row r="21" spans="1:10" x14ac:dyDescent="0.25">
      <c r="A21" s="2"/>
      <c r="B21" s="32"/>
      <c r="C21" s="106"/>
      <c r="D21" s="2"/>
      <c r="E21" s="2"/>
      <c r="F21" s="16"/>
      <c r="G21" s="13"/>
      <c r="H21" s="1"/>
      <c r="J21" s="17"/>
    </row>
    <row r="22" spans="1:10" x14ac:dyDescent="0.25">
      <c r="A22" s="2"/>
      <c r="B22" s="32"/>
      <c r="C22" s="105"/>
      <c r="D22" s="2"/>
      <c r="E22" s="2"/>
      <c r="F22" s="16"/>
      <c r="G22" s="13"/>
      <c r="H22" s="1"/>
      <c r="J22" s="17"/>
    </row>
    <row r="23" spans="1:10" x14ac:dyDescent="0.25">
      <c r="A23" s="2"/>
      <c r="B23" s="32"/>
      <c r="C23" s="29"/>
      <c r="D23" s="2"/>
      <c r="E23" s="2"/>
      <c r="F23" s="16"/>
      <c r="G23" s="13"/>
      <c r="H23" s="1"/>
      <c r="J23" s="17"/>
    </row>
    <row r="24" spans="1:10" x14ac:dyDescent="0.25">
      <c r="A24" s="2"/>
      <c r="B24" s="32"/>
      <c r="C24" s="29"/>
      <c r="D24" s="2"/>
      <c r="E24" s="2"/>
      <c r="F24" s="16"/>
      <c r="G24" s="13"/>
      <c r="H24" s="1"/>
      <c r="J24" s="17"/>
    </row>
    <row r="25" spans="1:10" x14ac:dyDescent="0.25">
      <c r="A25" s="2"/>
      <c r="B25" s="32"/>
      <c r="C25" s="29"/>
      <c r="D25" s="2"/>
      <c r="E25" s="2"/>
      <c r="F25" s="16"/>
      <c r="G25" s="13"/>
      <c r="H25" s="1"/>
      <c r="J25" s="17"/>
    </row>
    <row r="26" spans="1:10" x14ac:dyDescent="0.25">
      <c r="A26" s="2"/>
      <c r="B26" s="32"/>
      <c r="C26" s="29"/>
      <c r="D26" s="2"/>
      <c r="E26" s="2"/>
      <c r="F26" s="16"/>
      <c r="G26" s="13"/>
      <c r="H26" s="1"/>
      <c r="J26" s="17"/>
    </row>
    <row r="27" spans="1:10" x14ac:dyDescent="0.25">
      <c r="A27" s="2"/>
      <c r="B27" s="32"/>
      <c r="C27" s="29"/>
      <c r="D27" s="2"/>
      <c r="E27" s="2"/>
      <c r="F27" s="16"/>
      <c r="G27" s="13"/>
      <c r="H27" s="1"/>
      <c r="J27" s="17"/>
    </row>
    <row r="28" spans="1:10" x14ac:dyDescent="0.25">
      <c r="A28" s="2"/>
      <c r="B28" s="32"/>
      <c r="C28" s="29"/>
      <c r="D28" s="2"/>
      <c r="E28" s="2"/>
      <c r="F28" s="16"/>
      <c r="G28" s="13"/>
      <c r="H28" s="1"/>
      <c r="J28" s="17"/>
    </row>
    <row r="29" spans="1:10" x14ac:dyDescent="0.25">
      <c r="A29" s="2"/>
      <c r="B29" s="32"/>
      <c r="C29" s="29"/>
      <c r="D29" s="2"/>
      <c r="E29" s="2"/>
      <c r="F29" s="16"/>
      <c r="G29" s="13"/>
      <c r="H29" s="1"/>
      <c r="J29" s="17"/>
    </row>
    <row r="30" spans="1:10" x14ac:dyDescent="0.25">
      <c r="A30" s="2"/>
      <c r="B30" s="32"/>
      <c r="C30" s="29"/>
      <c r="D30" s="2"/>
      <c r="E30" s="2"/>
      <c r="F30" s="16"/>
      <c r="G30" s="13"/>
      <c r="H30" s="1"/>
      <c r="J30" s="17"/>
    </row>
    <row r="31" spans="1:10" x14ac:dyDescent="0.25">
      <c r="A31" s="2"/>
      <c r="B31" s="32"/>
      <c r="C31" s="29"/>
      <c r="D31" s="2"/>
      <c r="E31" s="2"/>
      <c r="F31" s="16"/>
      <c r="G31" s="13"/>
      <c r="H31" s="1"/>
      <c r="J31" s="17"/>
    </row>
    <row r="32" spans="1:10" x14ac:dyDescent="0.25">
      <c r="A32" s="2"/>
      <c r="B32" s="32"/>
      <c r="C32" s="29"/>
      <c r="D32" s="2"/>
      <c r="E32" s="2"/>
      <c r="F32" s="16"/>
      <c r="G32" s="13"/>
      <c r="H32" s="1"/>
      <c r="J32" s="17"/>
    </row>
    <row r="33" spans="1:10" x14ac:dyDescent="0.25">
      <c r="A33" s="2"/>
      <c r="B33" s="32"/>
      <c r="C33" s="29"/>
      <c r="D33" s="2"/>
      <c r="E33" s="2"/>
      <c r="F33" s="16"/>
      <c r="G33" s="13"/>
      <c r="H33" s="1"/>
      <c r="J33" s="17"/>
    </row>
    <row r="34" spans="1:10" x14ac:dyDescent="0.25">
      <c r="A34" s="2"/>
      <c r="B34" s="32"/>
      <c r="C34" s="29"/>
      <c r="D34" s="2"/>
      <c r="E34" s="2"/>
      <c r="F34" s="16"/>
      <c r="G34" s="13"/>
      <c r="H34" s="1"/>
      <c r="J34" s="17"/>
    </row>
    <row r="35" spans="1:10" x14ac:dyDescent="0.25">
      <c r="A35" s="2"/>
      <c r="B35" s="32"/>
      <c r="C35" s="29"/>
      <c r="D35" s="2"/>
      <c r="E35" s="2"/>
      <c r="F35" s="16"/>
      <c r="G35" s="13"/>
      <c r="H35" s="1"/>
      <c r="J35" s="17"/>
    </row>
    <row r="36" spans="1:10" x14ac:dyDescent="0.25">
      <c r="A36" s="2"/>
      <c r="B36" s="32"/>
      <c r="C36" s="29"/>
      <c r="D36" s="2"/>
      <c r="E36" s="2"/>
      <c r="F36" s="16"/>
      <c r="G36" s="13"/>
      <c r="H36" s="1"/>
      <c r="J36" s="17"/>
    </row>
    <row r="37" spans="1:10" x14ac:dyDescent="0.25">
      <c r="A37" s="2"/>
      <c r="B37" s="32"/>
      <c r="C37" s="29"/>
      <c r="D37" s="2"/>
      <c r="E37" s="2"/>
      <c r="F37" s="16"/>
      <c r="G37" s="13"/>
      <c r="H37" s="1"/>
      <c r="J37" s="17"/>
    </row>
    <row r="38" spans="1:10" x14ac:dyDescent="0.25">
      <c r="A38" s="2"/>
      <c r="B38" s="32"/>
      <c r="C38" s="29"/>
      <c r="D38" s="2"/>
      <c r="E38" s="2"/>
      <c r="F38" s="16"/>
      <c r="G38" s="13"/>
      <c r="H38" s="1"/>
      <c r="J38" s="17"/>
    </row>
    <row r="39" spans="1:10" x14ac:dyDescent="0.25">
      <c r="A39" s="2"/>
      <c r="B39" s="32"/>
      <c r="C39" s="29"/>
      <c r="D39" s="2"/>
      <c r="E39" s="2"/>
      <c r="F39" s="16"/>
      <c r="G39" s="13"/>
      <c r="H39" s="1"/>
      <c r="J39" s="17"/>
    </row>
    <row r="40" spans="1:10" x14ac:dyDescent="0.25">
      <c r="A40" s="2"/>
      <c r="B40" s="32"/>
      <c r="C40" s="29"/>
      <c r="D40" s="2"/>
      <c r="E40" s="2"/>
      <c r="F40" s="16"/>
      <c r="G40" s="13"/>
      <c r="H40" s="1"/>
      <c r="J40" s="17"/>
    </row>
    <row r="41" spans="1:10" x14ac:dyDescent="0.25">
      <c r="A41" s="2"/>
      <c r="B41" s="32"/>
      <c r="C41" s="29"/>
      <c r="D41" s="2"/>
      <c r="E41" s="2"/>
      <c r="F41" s="16"/>
      <c r="G41" s="13"/>
      <c r="H41" s="1"/>
      <c r="J41" s="17"/>
    </row>
    <row r="42" spans="1:10" x14ac:dyDescent="0.25">
      <c r="A42" s="2"/>
      <c r="B42" s="32"/>
      <c r="C42" s="29"/>
      <c r="D42" s="2"/>
      <c r="E42" s="2"/>
      <c r="F42" s="16"/>
      <c r="G42" s="13"/>
      <c r="H42" s="1"/>
      <c r="J42" s="17"/>
    </row>
    <row r="43" spans="1:10" x14ac:dyDescent="0.25">
      <c r="A43" s="2"/>
      <c r="B43" s="32"/>
      <c r="C43" s="29"/>
      <c r="D43" s="2"/>
      <c r="E43" s="2"/>
      <c r="F43" s="16"/>
      <c r="G43" s="13"/>
      <c r="H43" s="1"/>
      <c r="J43" s="17"/>
    </row>
    <row r="44" spans="1:10" x14ac:dyDescent="0.25">
      <c r="A44" s="2"/>
      <c r="B44" s="32"/>
      <c r="C44" s="29"/>
      <c r="D44" s="2"/>
      <c r="E44" s="2"/>
      <c r="F44" s="16"/>
      <c r="G44" s="13"/>
      <c r="H44" s="1"/>
      <c r="J44" s="17"/>
    </row>
    <row r="45" spans="1:10" x14ac:dyDescent="0.25">
      <c r="A45" s="2"/>
      <c r="B45" s="32"/>
      <c r="C45" s="29"/>
      <c r="D45" s="2"/>
      <c r="E45" s="2"/>
      <c r="F45" s="16"/>
      <c r="G45" s="13"/>
      <c r="H45" s="1"/>
      <c r="J45" s="17"/>
    </row>
    <row r="46" spans="1:10" x14ac:dyDescent="0.25">
      <c r="A46" s="2"/>
      <c r="B46" s="32"/>
      <c r="C46" s="29"/>
      <c r="D46" s="2"/>
      <c r="E46" s="2"/>
      <c r="F46" s="16"/>
      <c r="G46" s="13"/>
      <c r="H46" s="1"/>
      <c r="J46" s="17"/>
    </row>
    <row r="47" spans="1:10" x14ac:dyDescent="0.25">
      <c r="A47" s="2"/>
      <c r="B47" s="32"/>
      <c r="C47" s="29"/>
      <c r="D47" s="2"/>
      <c r="E47" s="2"/>
      <c r="F47" s="16"/>
      <c r="G47" s="13"/>
      <c r="H47" s="1"/>
      <c r="J47" s="17"/>
    </row>
    <row r="48" spans="1:10" x14ac:dyDescent="0.25">
      <c r="A48" s="2"/>
      <c r="B48" s="32"/>
      <c r="C48" s="29"/>
      <c r="D48" s="2"/>
      <c r="E48" s="2"/>
      <c r="F48" s="16"/>
      <c r="G48" s="13"/>
      <c r="H48" s="1"/>
      <c r="J48" s="17"/>
    </row>
    <row r="49" spans="1:10" x14ac:dyDescent="0.25">
      <c r="A49" s="2"/>
      <c r="B49" s="32"/>
      <c r="C49" s="29"/>
      <c r="D49" s="2"/>
      <c r="E49" s="2"/>
      <c r="F49" s="16"/>
      <c r="G49" s="13"/>
      <c r="H49" s="1"/>
      <c r="J49" s="17"/>
    </row>
    <row r="50" spans="1:10" x14ac:dyDescent="0.25">
      <c r="A50" s="2"/>
      <c r="B50" s="32"/>
      <c r="C50" s="29"/>
      <c r="D50" s="2"/>
      <c r="E50" s="2"/>
      <c r="F50" s="16"/>
      <c r="G50" s="13"/>
      <c r="H50" s="1"/>
      <c r="J50" s="17"/>
    </row>
    <row r="51" spans="1:10" x14ac:dyDescent="0.25">
      <c r="A51" s="2"/>
      <c r="B51" s="32"/>
      <c r="C51" s="29"/>
      <c r="D51" s="2"/>
      <c r="E51" s="2"/>
      <c r="F51" s="16"/>
      <c r="G51" s="13"/>
      <c r="H51" s="1"/>
      <c r="J51" s="17"/>
    </row>
    <row r="52" spans="1:10" x14ac:dyDescent="0.25">
      <c r="A52" s="2"/>
      <c r="B52" s="32"/>
      <c r="C52" s="29"/>
      <c r="D52" s="2"/>
      <c r="E52" s="2"/>
      <c r="F52" s="16"/>
      <c r="G52" s="13"/>
      <c r="H52" s="1"/>
      <c r="J52" s="17"/>
    </row>
    <row r="53" spans="1:10" x14ac:dyDescent="0.25">
      <c r="A53" s="2"/>
      <c r="B53" s="32"/>
      <c r="C53" s="29"/>
      <c r="D53" s="2"/>
      <c r="E53" s="2"/>
      <c r="F53" s="16"/>
      <c r="G53" s="13"/>
      <c r="H53" s="1"/>
      <c r="J53" s="17"/>
    </row>
    <row r="54" spans="1:10" x14ac:dyDescent="0.25">
      <c r="A54" s="2"/>
      <c r="B54" s="32"/>
      <c r="C54" s="29"/>
      <c r="D54" s="2"/>
      <c r="E54" s="2"/>
      <c r="F54" s="16"/>
      <c r="G54" s="13"/>
      <c r="H54" s="1"/>
      <c r="J54" s="17"/>
    </row>
    <row r="55" spans="1:10" x14ac:dyDescent="0.25">
      <c r="A55" s="2"/>
      <c r="B55" s="32"/>
      <c r="C55" s="29"/>
      <c r="D55" s="2"/>
      <c r="E55" s="2"/>
      <c r="F55" s="16"/>
      <c r="G55" s="13"/>
      <c r="H55" s="1"/>
      <c r="J55" s="17"/>
    </row>
    <row r="56" spans="1:10" x14ac:dyDescent="0.25">
      <c r="A56" s="2"/>
      <c r="B56" s="32"/>
      <c r="C56" s="29"/>
      <c r="D56" s="2"/>
      <c r="E56" s="2"/>
      <c r="F56" s="16"/>
      <c r="G56" s="13"/>
      <c r="H56" s="1"/>
      <c r="J56" s="17"/>
    </row>
    <row r="57" spans="1:10" x14ac:dyDescent="0.25">
      <c r="A57" s="2"/>
      <c r="B57" s="32"/>
      <c r="C57" s="29"/>
      <c r="D57" s="2"/>
      <c r="E57" s="2"/>
      <c r="F57" s="16"/>
      <c r="G57" s="13"/>
      <c r="H57" s="1"/>
      <c r="J57" s="17"/>
    </row>
    <row r="58" spans="1:10" x14ac:dyDescent="0.25">
      <c r="A58" s="2"/>
      <c r="B58" s="32"/>
      <c r="C58" s="29"/>
      <c r="D58" s="2"/>
      <c r="E58" s="2"/>
      <c r="F58" s="16"/>
      <c r="G58" s="13"/>
      <c r="H58" s="1"/>
      <c r="J58" s="17"/>
    </row>
    <row r="59" spans="1:10" x14ac:dyDescent="0.25">
      <c r="A59" s="2"/>
      <c r="B59" s="32"/>
      <c r="C59" s="29"/>
      <c r="D59" s="2"/>
      <c r="E59" s="2"/>
      <c r="F59" s="16"/>
      <c r="G59" s="13"/>
      <c r="H59" s="1"/>
      <c r="J59" s="17"/>
    </row>
    <row r="60" spans="1:10" x14ac:dyDescent="0.25">
      <c r="A60" s="2"/>
      <c r="B60" s="32"/>
      <c r="C60" s="29"/>
      <c r="D60" s="2"/>
      <c r="E60" s="2"/>
      <c r="F60" s="16"/>
      <c r="G60" s="13"/>
      <c r="H60" s="1"/>
      <c r="J60" s="17"/>
    </row>
    <row r="61" spans="1:10" x14ac:dyDescent="0.25">
      <c r="A61" s="2"/>
      <c r="B61" s="32"/>
      <c r="C61" s="29"/>
      <c r="D61" s="2"/>
      <c r="E61" s="2"/>
      <c r="F61" s="16"/>
      <c r="G61" s="13"/>
      <c r="H61" s="1"/>
      <c r="J61" s="17"/>
    </row>
    <row r="62" spans="1:10" x14ac:dyDescent="0.25">
      <c r="A62" s="2"/>
      <c r="B62" s="32"/>
      <c r="C62" s="29"/>
      <c r="D62" s="2"/>
      <c r="E62" s="2"/>
      <c r="F62" s="16"/>
      <c r="G62" s="13"/>
      <c r="H62" s="1"/>
      <c r="J62" s="17"/>
    </row>
    <row r="63" spans="1:10" x14ac:dyDescent="0.25">
      <c r="A63" s="2"/>
      <c r="B63" s="32"/>
      <c r="C63" s="29"/>
      <c r="D63" s="2"/>
      <c r="E63" s="2"/>
      <c r="F63" s="16"/>
      <c r="G63" s="13"/>
      <c r="H63" s="1"/>
      <c r="J63" s="17"/>
    </row>
    <row r="64" spans="1:10" x14ac:dyDescent="0.25">
      <c r="A64" s="2"/>
      <c r="B64" s="32"/>
      <c r="C64" s="29"/>
      <c r="D64" s="2"/>
      <c r="E64" s="2"/>
      <c r="F64" s="16"/>
      <c r="G64" s="13"/>
      <c r="H64" s="1"/>
      <c r="J64" s="17"/>
    </row>
    <row r="65" spans="1:10" x14ac:dyDescent="0.25">
      <c r="A65" s="2"/>
      <c r="B65" s="32"/>
      <c r="C65" s="29"/>
      <c r="D65" s="2"/>
      <c r="E65" s="2"/>
      <c r="F65" s="16"/>
      <c r="G65" s="13"/>
      <c r="H65" s="1"/>
      <c r="J65" s="17"/>
    </row>
    <row r="66" spans="1:10" x14ac:dyDescent="0.25">
      <c r="A66" s="2"/>
      <c r="B66" s="32"/>
      <c r="C66" s="29"/>
      <c r="D66" s="2"/>
      <c r="E66" s="2"/>
      <c r="F66" s="16"/>
      <c r="G66" s="13"/>
      <c r="H66" s="1"/>
      <c r="J66" s="17"/>
    </row>
    <row r="67" spans="1:10" x14ac:dyDescent="0.25">
      <c r="A67" s="2"/>
      <c r="B67" s="32"/>
      <c r="C67" s="29"/>
      <c r="D67" s="2"/>
      <c r="E67" s="2"/>
      <c r="F67" s="16"/>
      <c r="G67" s="13"/>
      <c r="H67" s="1"/>
      <c r="J67" s="17"/>
    </row>
    <row r="68" spans="1:10" x14ac:dyDescent="0.25">
      <c r="A68" s="2"/>
      <c r="B68" s="32"/>
      <c r="C68" s="29"/>
      <c r="D68" s="2"/>
      <c r="E68" s="2"/>
      <c r="F68" s="16"/>
      <c r="G68" s="13"/>
      <c r="H68" s="1"/>
      <c r="J68" s="17"/>
    </row>
    <row r="69" spans="1:10" x14ac:dyDescent="0.25">
      <c r="A69" s="2"/>
      <c r="B69" s="32"/>
      <c r="C69" s="29"/>
      <c r="D69" s="2"/>
      <c r="E69" s="2"/>
      <c r="F69" s="16"/>
      <c r="G69" s="13"/>
      <c r="H69" s="1"/>
      <c r="J69" s="17"/>
    </row>
    <row r="70" spans="1:10" x14ac:dyDescent="0.25">
      <c r="A70" s="2"/>
      <c r="B70" s="32"/>
      <c r="C70" s="29"/>
      <c r="D70" s="2"/>
      <c r="E70" s="2"/>
      <c r="F70" s="16"/>
      <c r="G70" s="13"/>
      <c r="H70" s="1"/>
      <c r="J70" s="17"/>
    </row>
    <row r="71" spans="1:10" x14ac:dyDescent="0.25">
      <c r="A71" s="2"/>
      <c r="B71" s="32"/>
      <c r="C71" s="29"/>
      <c r="D71" s="2"/>
      <c r="E71" s="2"/>
      <c r="F71" s="16"/>
      <c r="G71" s="13"/>
      <c r="H71" s="1"/>
      <c r="J71" s="17"/>
    </row>
    <row r="72" spans="1:10" x14ac:dyDescent="0.25">
      <c r="A72" s="2"/>
      <c r="B72" s="32"/>
      <c r="C72" s="29"/>
      <c r="D72" s="2"/>
      <c r="E72" s="2"/>
      <c r="F72" s="16"/>
      <c r="G72" s="13"/>
      <c r="H72" s="1"/>
      <c r="J72" s="17"/>
    </row>
    <row r="73" spans="1:10" x14ac:dyDescent="0.25">
      <c r="A73" s="2"/>
      <c r="B73" s="32"/>
      <c r="C73" s="29"/>
      <c r="D73" s="2"/>
      <c r="E73" s="2"/>
      <c r="F73" s="16"/>
      <c r="G73" s="13"/>
      <c r="H73" s="1"/>
      <c r="J73" s="17"/>
    </row>
    <row r="74" spans="1:10" x14ac:dyDescent="0.25">
      <c r="A74" s="2"/>
      <c r="B74" s="32"/>
      <c r="C74" s="29"/>
      <c r="D74" s="2"/>
      <c r="E74" s="2"/>
      <c r="F74" s="16"/>
      <c r="G74" s="13"/>
      <c r="H74" s="1"/>
      <c r="J74" s="17"/>
    </row>
    <row r="75" spans="1:10" x14ac:dyDescent="0.25">
      <c r="A75" s="2"/>
      <c r="B75" s="32"/>
      <c r="C75" s="29"/>
      <c r="D75" s="2"/>
      <c r="E75" s="2"/>
      <c r="F75" s="16"/>
      <c r="G75" s="13"/>
      <c r="H75" s="1"/>
      <c r="J75" s="17"/>
    </row>
    <row r="76" spans="1:10" x14ac:dyDescent="0.25">
      <c r="A76" s="2"/>
      <c r="B76" s="32"/>
      <c r="C76" s="29"/>
      <c r="D76" s="2"/>
      <c r="E76" s="2"/>
      <c r="F76" s="16"/>
      <c r="G76" s="13"/>
      <c r="H76" s="1"/>
      <c r="J76" s="17"/>
    </row>
    <row r="77" spans="1:10" x14ac:dyDescent="0.25">
      <c r="A77" s="2"/>
      <c r="B77" s="32"/>
      <c r="C77" s="29"/>
      <c r="D77" s="2"/>
      <c r="E77" s="2"/>
      <c r="F77" s="16"/>
      <c r="G77" s="13"/>
      <c r="H77" s="1"/>
      <c r="J77" s="17"/>
    </row>
    <row r="78" spans="1:10" x14ac:dyDescent="0.25">
      <c r="A78" s="2"/>
      <c r="B78" s="32"/>
      <c r="C78" s="29"/>
      <c r="D78" s="2"/>
      <c r="E78" s="2"/>
      <c r="F78" s="16"/>
      <c r="G78" s="13"/>
      <c r="H78" s="1"/>
      <c r="J78" s="17"/>
    </row>
    <row r="79" spans="1:10" x14ac:dyDescent="0.25">
      <c r="A79" s="2"/>
      <c r="B79" s="32"/>
      <c r="C79" s="29"/>
      <c r="D79" s="2"/>
      <c r="E79" s="2"/>
      <c r="F79" s="16"/>
      <c r="G79" s="13"/>
      <c r="H79" s="1"/>
      <c r="J79" s="17"/>
    </row>
    <row r="80" spans="1:10" x14ac:dyDescent="0.25">
      <c r="A80" s="2"/>
      <c r="B80" s="32"/>
      <c r="C80" s="29"/>
      <c r="D80" s="2"/>
      <c r="E80" s="2"/>
      <c r="F80" s="16"/>
      <c r="G80" s="13"/>
      <c r="H80" s="1"/>
      <c r="J80" s="17"/>
    </row>
    <row r="81" spans="1:10" x14ac:dyDescent="0.25">
      <c r="A81" s="2"/>
      <c r="B81" s="32"/>
      <c r="C81" s="29"/>
      <c r="D81" s="2"/>
      <c r="E81" s="2"/>
      <c r="F81" s="16"/>
      <c r="G81" s="13"/>
      <c r="H81" s="1"/>
      <c r="J81" s="17"/>
    </row>
    <row r="82" spans="1:10" x14ac:dyDescent="0.25">
      <c r="A82" s="2"/>
      <c r="B82" s="32"/>
      <c r="C82" s="29"/>
      <c r="D82" s="2"/>
      <c r="E82" s="2"/>
      <c r="F82" s="16"/>
      <c r="G82" s="13"/>
      <c r="H82" s="1"/>
      <c r="J82" s="17"/>
    </row>
    <row r="83" spans="1:10" x14ac:dyDescent="0.25">
      <c r="A83" s="2"/>
      <c r="B83" s="32"/>
      <c r="C83" s="29"/>
      <c r="D83" s="2"/>
      <c r="E83" s="2"/>
      <c r="F83" s="16"/>
      <c r="G83" s="13"/>
      <c r="H83" s="1"/>
      <c r="J83" s="17"/>
    </row>
    <row r="84" spans="1:10" x14ac:dyDescent="0.25">
      <c r="A84" s="2"/>
      <c r="B84" s="32"/>
      <c r="C84" s="29"/>
      <c r="D84" s="2"/>
      <c r="E84" s="2"/>
      <c r="F84" s="16"/>
      <c r="G84" s="13"/>
      <c r="H84" s="1"/>
      <c r="J84" s="17"/>
    </row>
    <row r="85" spans="1:10" x14ac:dyDescent="0.25">
      <c r="A85" s="2"/>
      <c r="B85" s="32"/>
      <c r="C85" s="29"/>
      <c r="D85" s="2"/>
      <c r="E85" s="2"/>
      <c r="F85" s="16"/>
      <c r="G85" s="13"/>
      <c r="H85" s="1"/>
      <c r="J85" s="17"/>
    </row>
    <row r="86" spans="1:10" x14ac:dyDescent="0.25">
      <c r="A86" s="2"/>
      <c r="B86" s="32"/>
      <c r="C86" s="29"/>
      <c r="D86" s="2"/>
      <c r="E86" s="2"/>
      <c r="F86" s="16"/>
      <c r="G86" s="13"/>
      <c r="H86" s="1"/>
      <c r="J86" s="17"/>
    </row>
    <row r="87" spans="1:10" x14ac:dyDescent="0.25">
      <c r="A87" s="2"/>
      <c r="B87" s="32"/>
      <c r="C87" s="29"/>
      <c r="D87" s="2"/>
      <c r="E87" s="2"/>
      <c r="F87" s="16"/>
      <c r="G87" s="13"/>
      <c r="H87" s="1"/>
      <c r="J87" s="17"/>
    </row>
    <row r="88" spans="1:10" x14ac:dyDescent="0.25">
      <c r="A88" s="2"/>
      <c r="B88" s="32"/>
      <c r="C88" s="29"/>
      <c r="D88" s="2"/>
      <c r="E88" s="2"/>
      <c r="F88" s="16"/>
      <c r="G88" s="13"/>
      <c r="H88" s="1"/>
      <c r="J88" s="17"/>
    </row>
    <row r="89" spans="1:10" x14ac:dyDescent="0.25">
      <c r="A89" s="2"/>
      <c r="B89" s="32"/>
      <c r="C89" s="29"/>
      <c r="D89" s="2"/>
      <c r="E89" s="2"/>
      <c r="F89" s="16"/>
      <c r="G89" s="13"/>
      <c r="H89" s="1"/>
      <c r="J89" s="17"/>
    </row>
    <row r="90" spans="1:10" x14ac:dyDescent="0.25">
      <c r="A90" s="2"/>
      <c r="B90" s="32"/>
      <c r="C90" s="29"/>
      <c r="D90" s="2"/>
      <c r="E90" s="2"/>
      <c r="F90" s="16"/>
      <c r="G90" s="13"/>
      <c r="H90" s="1"/>
      <c r="J90" s="17"/>
    </row>
    <row r="91" spans="1:10" x14ac:dyDescent="0.25">
      <c r="A91" s="2"/>
      <c r="B91" s="32"/>
      <c r="C91" s="29"/>
      <c r="D91" s="2"/>
      <c r="E91" s="2"/>
      <c r="F91" s="16"/>
      <c r="G91" s="13"/>
      <c r="H91" s="1"/>
      <c r="J91" s="17"/>
    </row>
    <row r="92" spans="1:10" x14ac:dyDescent="0.25">
      <c r="A92" s="2"/>
      <c r="B92" s="32"/>
      <c r="C92" s="29"/>
      <c r="D92" s="2"/>
      <c r="E92" s="2"/>
      <c r="F92" s="16"/>
      <c r="G92" s="13"/>
      <c r="H92" s="1"/>
      <c r="J92" s="17"/>
    </row>
    <row r="93" spans="1:10" x14ac:dyDescent="0.25">
      <c r="A93" s="2"/>
      <c r="B93" s="32"/>
      <c r="C93" s="29"/>
      <c r="D93" s="2"/>
      <c r="E93" s="2"/>
      <c r="F93" s="16"/>
      <c r="G93" s="13"/>
      <c r="H93" s="1"/>
      <c r="J93" s="17"/>
    </row>
    <row r="94" spans="1:10" x14ac:dyDescent="0.25">
      <c r="A94" s="2"/>
      <c r="B94" s="32"/>
      <c r="C94" s="29"/>
      <c r="D94" s="2"/>
      <c r="E94" s="2"/>
      <c r="F94" s="16"/>
      <c r="G94" s="13"/>
      <c r="H94" s="1"/>
      <c r="J94" s="17"/>
    </row>
    <row r="95" spans="1:10" x14ac:dyDescent="0.25">
      <c r="A95" s="2"/>
      <c r="B95" s="32"/>
      <c r="C95" s="29"/>
      <c r="D95" s="2"/>
      <c r="E95" s="2"/>
      <c r="F95" s="16"/>
      <c r="G95" s="13"/>
      <c r="H95" s="1"/>
      <c r="J95" s="17"/>
    </row>
    <row r="96" spans="1:10" x14ac:dyDescent="0.25">
      <c r="A96" s="2"/>
      <c r="B96" s="32"/>
      <c r="C96" s="29"/>
      <c r="D96" s="2"/>
      <c r="E96" s="2"/>
      <c r="F96" s="16"/>
      <c r="G96" s="13"/>
      <c r="H96" s="1"/>
      <c r="J96" s="17"/>
    </row>
    <row r="97" spans="1:10" x14ac:dyDescent="0.25">
      <c r="A97" s="2"/>
      <c r="B97" s="32"/>
      <c r="C97" s="29"/>
      <c r="D97" s="2"/>
      <c r="E97" s="2"/>
      <c r="F97" s="16"/>
      <c r="G97" s="13"/>
      <c r="H97" s="1"/>
      <c r="J97" s="17"/>
    </row>
    <row r="98" spans="1:10" x14ac:dyDescent="0.25">
      <c r="A98" s="2"/>
      <c r="B98" s="32"/>
      <c r="C98" s="29"/>
      <c r="D98" s="2"/>
      <c r="E98" s="2"/>
      <c r="F98" s="16"/>
      <c r="G98" s="13"/>
      <c r="H98" s="1"/>
      <c r="J98" s="17"/>
    </row>
    <row r="99" spans="1:10" x14ac:dyDescent="0.25">
      <c r="A99" s="2"/>
      <c r="B99" s="32"/>
      <c r="C99" s="29"/>
      <c r="D99" s="2"/>
      <c r="E99" s="2"/>
      <c r="F99" s="16"/>
      <c r="G99" s="13"/>
      <c r="H99" s="1"/>
      <c r="J99" s="17"/>
    </row>
    <row r="100" spans="1:10" x14ac:dyDescent="0.25">
      <c r="A100" s="2"/>
      <c r="B100" s="32"/>
      <c r="C100" s="29"/>
      <c r="D100" s="2"/>
      <c r="E100" s="2"/>
      <c r="F100" s="16"/>
      <c r="G100" s="13"/>
      <c r="H100" s="1"/>
      <c r="J100" s="17"/>
    </row>
    <row r="101" spans="1:10" x14ac:dyDescent="0.25">
      <c r="A101" s="2"/>
      <c r="B101" s="32"/>
      <c r="C101" s="29"/>
      <c r="D101" s="2"/>
      <c r="E101" s="2"/>
      <c r="F101" s="16"/>
      <c r="G101" s="13"/>
      <c r="H101" s="1"/>
      <c r="J101" s="17"/>
    </row>
    <row r="102" spans="1:10" x14ac:dyDescent="0.25">
      <c r="A102" s="2"/>
      <c r="B102" s="32"/>
      <c r="C102" s="29"/>
      <c r="D102" s="2"/>
      <c r="E102" s="2"/>
      <c r="F102" s="16"/>
      <c r="G102" s="13"/>
      <c r="H102" s="1"/>
      <c r="J102" s="17"/>
    </row>
    <row r="103" spans="1:10" x14ac:dyDescent="0.25">
      <c r="A103" s="2"/>
      <c r="B103" s="32"/>
      <c r="C103" s="29"/>
      <c r="D103" s="2"/>
      <c r="E103" s="2"/>
      <c r="F103" s="16"/>
      <c r="G103" s="13"/>
      <c r="H103" s="1"/>
      <c r="J103" s="17"/>
    </row>
    <row r="104" spans="1:10" x14ac:dyDescent="0.25">
      <c r="A104" s="2"/>
      <c r="B104" s="32"/>
      <c r="C104" s="29"/>
      <c r="D104" s="2"/>
      <c r="E104" s="2"/>
      <c r="F104" s="16"/>
      <c r="G104" s="13"/>
      <c r="H104" s="1"/>
      <c r="J104" s="17"/>
    </row>
    <row r="105" spans="1:10" x14ac:dyDescent="0.25">
      <c r="A105" s="2"/>
      <c r="B105" s="32"/>
      <c r="C105" s="29"/>
      <c r="D105" s="2"/>
      <c r="E105" s="2"/>
      <c r="F105" s="16"/>
      <c r="G105" s="13"/>
      <c r="H105" s="1"/>
      <c r="J105" s="17"/>
    </row>
    <row r="106" spans="1:10" x14ac:dyDescent="0.25">
      <c r="A106" s="2"/>
      <c r="B106" s="32"/>
      <c r="C106" s="29"/>
      <c r="D106" s="2"/>
      <c r="E106" s="2"/>
      <c r="F106" s="16"/>
      <c r="G106" s="13"/>
      <c r="H106" s="1"/>
      <c r="J106" s="17"/>
    </row>
    <row r="107" spans="1:10" x14ac:dyDescent="0.25">
      <c r="A107" s="2"/>
      <c r="B107" s="32"/>
      <c r="C107" s="29"/>
      <c r="D107" s="2"/>
      <c r="E107" s="2"/>
      <c r="F107" s="16"/>
      <c r="G107" s="13"/>
      <c r="H107" s="1"/>
      <c r="J107" s="17"/>
    </row>
    <row r="108" spans="1:10" x14ac:dyDescent="0.25">
      <c r="A108" s="2"/>
      <c r="B108" s="32"/>
      <c r="C108" s="29"/>
      <c r="D108" s="2"/>
      <c r="E108" s="2"/>
      <c r="F108" s="16"/>
      <c r="G108" s="13"/>
      <c r="H108" s="1"/>
      <c r="J108" s="17"/>
    </row>
    <row r="109" spans="1:10" x14ac:dyDescent="0.25">
      <c r="A109" s="2"/>
      <c r="B109" s="32"/>
      <c r="C109" s="29"/>
      <c r="D109" s="2"/>
      <c r="E109" s="2"/>
      <c r="F109" s="16"/>
      <c r="G109" s="13"/>
      <c r="H109" s="1"/>
      <c r="J109" s="17"/>
    </row>
    <row r="110" spans="1:10" x14ac:dyDescent="0.25">
      <c r="A110" s="2"/>
      <c r="B110" s="32"/>
      <c r="C110" s="29"/>
      <c r="D110" s="2"/>
      <c r="E110" s="2"/>
      <c r="F110" s="16"/>
      <c r="G110" s="13"/>
      <c r="H110" s="1"/>
      <c r="J110" s="17"/>
    </row>
    <row r="111" spans="1:10" x14ac:dyDescent="0.25">
      <c r="A111" s="2"/>
      <c r="B111" s="32"/>
      <c r="C111" s="29"/>
      <c r="D111" s="2"/>
      <c r="E111" s="2"/>
      <c r="F111" s="16"/>
      <c r="G111" s="13"/>
      <c r="H111" s="1"/>
      <c r="J111" s="17"/>
    </row>
    <row r="112" spans="1:10" x14ac:dyDescent="0.25">
      <c r="A112" s="2"/>
      <c r="B112" s="32"/>
      <c r="C112" s="29"/>
      <c r="D112" s="2"/>
      <c r="E112" s="2"/>
      <c r="F112" s="16"/>
      <c r="G112" s="13"/>
      <c r="H112" s="1"/>
      <c r="J112" s="17"/>
    </row>
    <row r="113" spans="1:10" x14ac:dyDescent="0.25">
      <c r="A113" s="2"/>
      <c r="B113" s="32"/>
      <c r="C113" s="29"/>
      <c r="D113" s="2"/>
      <c r="E113" s="2"/>
      <c r="F113" s="16"/>
      <c r="G113" s="13"/>
      <c r="H113" s="1"/>
      <c r="J113" s="17"/>
    </row>
    <row r="114" spans="1:10" x14ac:dyDescent="0.25">
      <c r="A114" s="2"/>
      <c r="B114" s="32"/>
      <c r="C114" s="29"/>
      <c r="D114" s="2"/>
      <c r="E114" s="2"/>
      <c r="F114" s="16"/>
      <c r="G114" s="13"/>
      <c r="H114" s="1"/>
      <c r="J114" s="17"/>
    </row>
    <row r="115" spans="1:10" x14ac:dyDescent="0.25">
      <c r="A115" s="2"/>
      <c r="B115" s="32"/>
      <c r="C115" s="29"/>
      <c r="D115" s="2"/>
      <c r="E115" s="2"/>
      <c r="F115" s="16"/>
      <c r="G115" s="13"/>
      <c r="H115" s="1"/>
      <c r="J115" s="17"/>
    </row>
    <row r="116" spans="1:10" x14ac:dyDescent="0.25">
      <c r="A116" s="2"/>
      <c r="B116" s="32"/>
      <c r="C116" s="29"/>
      <c r="D116" s="2"/>
      <c r="E116" s="2"/>
      <c r="F116" s="16"/>
      <c r="G116" s="13"/>
      <c r="H116" s="1"/>
      <c r="J116" s="1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E84E-27C5-4D46-AA7B-1A7971825017}">
  <dimension ref="A3:B13"/>
  <sheetViews>
    <sheetView tabSelected="1" workbookViewId="0">
      <selection activeCell="O5" sqref="O5"/>
    </sheetView>
  </sheetViews>
  <sheetFormatPr defaultRowHeight="15" x14ac:dyDescent="0.25"/>
  <cols>
    <col min="1" max="1" width="13.42578125" bestFit="1" customWidth="1"/>
    <col min="2" max="2" width="21" bestFit="1" customWidth="1"/>
  </cols>
  <sheetData>
    <row r="3" spans="1:2" x14ac:dyDescent="0.25">
      <c r="A3" s="26" t="s">
        <v>122</v>
      </c>
      <c r="B3" t="s">
        <v>126</v>
      </c>
    </row>
    <row r="4" spans="1:2" x14ac:dyDescent="0.25">
      <c r="A4" s="27">
        <v>17850</v>
      </c>
      <c r="B4" s="20">
        <v>41</v>
      </c>
    </row>
    <row r="5" spans="1:2" x14ac:dyDescent="0.25">
      <c r="A5" s="27">
        <v>12583</v>
      </c>
      <c r="B5" s="20">
        <v>20</v>
      </c>
    </row>
    <row r="6" spans="1:2" x14ac:dyDescent="0.25">
      <c r="A6" s="27">
        <v>13047</v>
      </c>
      <c r="B6" s="20">
        <v>17</v>
      </c>
    </row>
    <row r="7" spans="1:2" x14ac:dyDescent="0.25">
      <c r="A7" s="27">
        <v>15311</v>
      </c>
      <c r="B7" s="20">
        <v>17</v>
      </c>
    </row>
    <row r="8" spans="1:2" x14ac:dyDescent="0.25">
      <c r="A8" s="27">
        <v>15291</v>
      </c>
      <c r="B8" s="20">
        <v>2</v>
      </c>
    </row>
    <row r="9" spans="1:2" x14ac:dyDescent="0.25">
      <c r="A9" s="27">
        <v>14688</v>
      </c>
      <c r="B9" s="20">
        <v>2</v>
      </c>
    </row>
    <row r="10" spans="1:2" x14ac:dyDescent="0.25">
      <c r="A10" s="27">
        <v>17809</v>
      </c>
      <c r="B10" s="20">
        <v>1</v>
      </c>
    </row>
    <row r="11" spans="1:2" x14ac:dyDescent="0.25">
      <c r="A11" s="27">
        <v>13748</v>
      </c>
      <c r="B11" s="20">
        <v>1</v>
      </c>
    </row>
    <row r="12" spans="1:2" x14ac:dyDescent="0.25">
      <c r="A12" s="27">
        <v>15100</v>
      </c>
      <c r="B12" s="20">
        <v>1</v>
      </c>
    </row>
    <row r="13" spans="1:2" x14ac:dyDescent="0.25">
      <c r="A13" s="27" t="s">
        <v>123</v>
      </c>
      <c r="B13" s="20">
        <v>102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1-SQLs</vt:lpstr>
      <vt:lpstr>MAIN DATASET</vt:lpstr>
      <vt:lpstr>Historical Data</vt:lpstr>
      <vt:lpstr>Inputs &amp; Assumptions </vt:lpstr>
      <vt:lpstr>Current Year Forecast</vt:lpstr>
      <vt:lpstr>Dashboard</vt:lpstr>
      <vt:lpstr>Best Sellers</vt:lpstr>
      <vt:lpstr>Projected Profit growth</vt:lpstr>
      <vt:lpstr>Customer Frequency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Genni Vee Arcangel</dc:creator>
  <cp:lastModifiedBy>Angela Hullon</cp:lastModifiedBy>
  <dcterms:created xsi:type="dcterms:W3CDTF">2025-08-26T21:53:33Z</dcterms:created>
  <dcterms:modified xsi:type="dcterms:W3CDTF">2026-05-08T08:45:59Z</dcterms:modified>
</cp:coreProperties>
</file>