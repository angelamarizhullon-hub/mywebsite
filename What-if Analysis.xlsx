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Angela-PORTFOLIO\"/>
    </mc:Choice>
  </mc:AlternateContent>
  <xr:revisionPtr revIDLastSave="0" documentId="8_{AE0262AC-04E7-4932-88D5-8809202ADEEC}" xr6:coauthVersionLast="47" xr6:coauthVersionMax="47" xr10:uidLastSave="{00000000-0000-0000-0000-000000000000}"/>
  <bookViews>
    <workbookView xWindow="-120" yWindow="-120" windowWidth="20730" windowHeight="11160" firstSheet="1" activeTab="4" xr2:uid="{F0573ECB-DBAF-4314-8FA5-4DA3B7E83A55}"/>
  </bookViews>
  <sheets>
    <sheet name="Problem- Scenario" sheetId="1" r:id="rId1"/>
    <sheet name="Profit Model" sheetId="2" r:id="rId2"/>
    <sheet name="Scenario Manager" sheetId="34" r:id="rId3"/>
    <sheet name="Scenario Summary" sheetId="37" r:id="rId4"/>
    <sheet name=" Findings &amp; Reflection" sheetId="3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34" l="1"/>
  <c r="H2" i="2"/>
  <c r="E6" i="2"/>
</calcChain>
</file>

<file path=xl/sharedStrings.xml><?xml version="1.0" encoding="utf-8"?>
<sst xmlns="http://schemas.openxmlformats.org/spreadsheetml/2006/main" count="49" uniqueCount="38">
  <si>
    <t>Your company sells a product and wants to maximize profit. You'll analyze how changing price, cost, and sales volume impacts performance.
1. Build a profit model using selling price, cost per unit, and sales volume as inputs.
2. Use all three What-If Analysis functions in Excel:
 Determine the sales volume needed to achieve a target profit of 25% higher than the current. 
 Analyze how profit changes as you vary the selling price from ₱80 to ₱120.
 Compare profit under three scenarios—base case, best case (higher price/higher volume), and worst case (lower price/lower volume).
Complete each analysis using Excel.
Summarize: Which variable or scenario had the greatest impact on profit? How can a business use these findings?
Submit your Excel file with supporting tables and your reflection.</t>
  </si>
  <si>
    <t>Input/Output</t>
  </si>
  <si>
    <t>Value</t>
  </si>
  <si>
    <t>Selling Price (₱)</t>
  </si>
  <si>
    <t>Cost per Unit (₱)</t>
  </si>
  <si>
    <t>Sales Volume</t>
  </si>
  <si>
    <t>Profit</t>
  </si>
  <si>
    <t>BASE</t>
  </si>
  <si>
    <t>25% increase in target profit</t>
  </si>
  <si>
    <t>Goal-seek Analysis</t>
  </si>
  <si>
    <t>SELLING PRICE</t>
  </si>
  <si>
    <t>PROFIT</t>
  </si>
  <si>
    <t>Data Table Analysis</t>
  </si>
  <si>
    <t>Selling Price</t>
  </si>
  <si>
    <t>Created by User on 10/26/2025</t>
  </si>
  <si>
    <t>Scenario Summary</t>
  </si>
  <si>
    <t>Changing Cells:</t>
  </si>
  <si>
    <t>Notes:  Current Values column represents values of changing cells at</t>
  </si>
  <si>
    <t>time Scenario Summary Report was created.  Changing cells for each</t>
  </si>
  <si>
    <t>scenario are highlighted in gray.</t>
  </si>
  <si>
    <t>Created by User on 10/26/2025
Modified by User on 10/26/2025</t>
  </si>
  <si>
    <t>Result Cells:</t>
  </si>
  <si>
    <t>CASE SCENARIOS</t>
  </si>
  <si>
    <t>BASE CASE</t>
  </si>
  <si>
    <t>BEST CASE</t>
  </si>
  <si>
    <t>WORST CASE</t>
  </si>
  <si>
    <t>BEST</t>
  </si>
  <si>
    <t>CASE</t>
  </si>
  <si>
    <t>cost per unit</t>
  </si>
  <si>
    <t>sales volume</t>
  </si>
  <si>
    <t>profit</t>
  </si>
  <si>
    <t>WORST</t>
  </si>
  <si>
    <t>SCENARIOS</t>
  </si>
  <si>
    <t>SALES VOLUME</t>
  </si>
  <si>
    <t>.</t>
  </si>
  <si>
    <t>Based on the scenario analysis I conducted in Excel, I found that the variable with the greatest impact on profit was the selling price. When I adjusted the selling price across different scenarios—from ₱80 to ₱120—the profit changed significantly, ranging from ₱16,000 in the worst case to ₱72,000 in the best case. This showed me that even small changes in price can lead to major shifts in profitability, especially when cost per unit stays constant. I also used Goal Seek to find the selling price needed to reach a target profit of ₱50,000, which helped me understand how businesses can set realistic financial goals and reverse-engineer their pricing strategy. Lastly, I created a data table to visualize how different price points affect profit, which made it easier to compare outcomes and make informed decisions. As an accounting informtion system student, I realized that tools like Scenario Manager, Goal Seek, and Data Tables are powerful for forecasting and strategic planning. Businesses can use these findings to optimize pricing, set profit targets, and prepare for best- and worst-case scenarios. It’s a practical way to turn numbers into insights and make smarter decisions.</t>
  </si>
  <si>
    <t>Through this activity, I learned how powerful Excel’s Scenario Manager, Goal Seek, and Data Table tools are when it comes to analyzing business decisions. By comparing different scenarios, like the base case, best case, and worst case. I saw how changes in selling price and sales volume directly affect profit. Among all the variables, selling price had the biggest impact, which made me realize how important pricing strategy is for maximizing earnings. Using Goal Seek helped me understand how to set realistic financial targets and adjust inputs to reach them, while the Data Table gave me a clear view of how profit changes across different price points. As an accounting information system student, I now see how these tools can be used in real-life situations like budgeting, forecasting, and strategic planning. It’s not just about crunching numbers, it’s about making smarter decisions based on data. This exercise also improved my confidence in using Excel for financial modeling and gave me a deeper appreciation for how technology supports business analysis.</t>
  </si>
  <si>
    <t>(These values, changes if you select different cases provided in the scenario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</si>
</sst>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PHP]\ #,##0.00"/>
    <numFmt numFmtId="165" formatCode="_([$PHP]\ * #,##0.00_);_([$PHP]\ * \(#,##0.00\);_([$PHP]\ * &quot;-&quot;??_);_(@_)"/>
  </numFmts>
  <fonts count="8" x14ac:knownFonts="1">
    <font>
      <sz val="11"/>
      <color theme="1"/>
      <name val="Aptos Narrow"/>
      <family val="2"/>
      <scheme val="minor"/>
    </font>
    <font>
      <b/>
      <sz val="11"/>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sz val="20"/>
      <color theme="1"/>
      <name val="Aptos Narrow"/>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2"/>
        <bgColor indexed="64"/>
      </patternFill>
    </fill>
  </fills>
  <borders count="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0" fontId="0" fillId="0" borderId="0" xfId="0" applyAlignment="1">
      <alignment horizontal="left" vertical="top" wrapText="1"/>
    </xf>
    <xf numFmtId="164" fontId="0" fillId="0" borderId="0" xfId="0" applyNumberFormat="1"/>
    <xf numFmtId="165" fontId="0" fillId="0" borderId="0" xfId="0" applyNumberFormat="1"/>
    <xf numFmtId="0" fontId="0" fillId="0" borderId="0" xfId="0" applyAlignment="1">
      <alignment horizontal="center"/>
    </xf>
    <xf numFmtId="0" fontId="0" fillId="0" borderId="1" xfId="0" applyBorder="1"/>
    <xf numFmtId="165" fontId="0" fillId="0" borderId="2" xfId="0" applyNumberFormat="1" applyBorder="1"/>
    <xf numFmtId="3" fontId="0" fillId="0" borderId="2" xfId="0" applyNumberFormat="1" applyBorder="1"/>
    <xf numFmtId="0" fontId="0" fillId="0" borderId="3" xfId="0" applyBorder="1"/>
    <xf numFmtId="164" fontId="0" fillId="0" borderId="4" xfId="0" applyNumberFormat="1" applyBorder="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0" fillId="0" borderId="0" xfId="0" applyAlignment="1">
      <alignment horizontal="center" vertical="center"/>
    </xf>
    <xf numFmtId="164" fontId="0" fillId="0" borderId="2" xfId="0" applyNumberFormat="1" applyBorder="1"/>
    <xf numFmtId="0" fontId="0" fillId="0" borderId="0" xfId="0" applyBorder="1"/>
    <xf numFmtId="0" fontId="1" fillId="0" borderId="0" xfId="0" applyFont="1" applyBorder="1" applyAlignment="1">
      <alignment horizontal="center" vertical="center"/>
    </xf>
    <xf numFmtId="165" fontId="0" fillId="0" borderId="0" xfId="0" applyNumberFormat="1" applyBorder="1"/>
    <xf numFmtId="3" fontId="0" fillId="0" borderId="0" xfId="0" applyNumberFormat="1" applyBorder="1"/>
    <xf numFmtId="164" fontId="0" fillId="0" borderId="0" xfId="0" applyNumberFormat="1" applyBorder="1"/>
    <xf numFmtId="0" fontId="0" fillId="0" borderId="0" xfId="0" applyAlignment="1">
      <alignment vertical="center"/>
    </xf>
    <xf numFmtId="0" fontId="1" fillId="0" borderId="0" xfId="0" applyFont="1" applyAlignment="1">
      <alignment horizontal="center" vertical="center"/>
    </xf>
    <xf numFmtId="0" fontId="0" fillId="0" borderId="0" xfId="0" applyAlignment="1"/>
    <xf numFmtId="0" fontId="0" fillId="0" borderId="0" xfId="0" applyBorder="1" applyAlignment="1">
      <alignment horizontal="center"/>
    </xf>
    <xf numFmtId="0" fontId="0" fillId="0" borderId="1" xfId="0" applyBorder="1" applyAlignment="1">
      <alignment horizontal="center" vertical="center"/>
    </xf>
    <xf numFmtId="164" fontId="0" fillId="0" borderId="2" xfId="0" applyNumberFormat="1" applyBorder="1" applyAlignment="1">
      <alignment horizontal="center" vertical="center"/>
    </xf>
    <xf numFmtId="164" fontId="0" fillId="0" borderId="1" xfId="0" applyNumberFormat="1" applyBorder="1" applyAlignment="1">
      <alignment horizontal="center" vertical="center"/>
    </xf>
    <xf numFmtId="164" fontId="0" fillId="0" borderId="1" xfId="0" applyNumberFormat="1" applyBorder="1" applyAlignment="1">
      <alignment horizontal="center"/>
    </xf>
    <xf numFmtId="164" fontId="0" fillId="0" borderId="3" xfId="0" applyNumberFormat="1" applyBorder="1" applyAlignment="1">
      <alignment horizont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3" fontId="0" fillId="0" borderId="0" xfId="0" applyNumberFormat="1" applyAlignment="1"/>
    <xf numFmtId="0" fontId="1" fillId="0" borderId="0" xfId="0" applyFont="1" applyAlignment="1">
      <alignment horizontal="center"/>
    </xf>
    <xf numFmtId="3" fontId="0" fillId="0" borderId="0" xfId="0" applyNumberFormat="1" applyAlignment="1">
      <alignment horizontal="center" vertical="center"/>
    </xf>
    <xf numFmtId="0" fontId="0" fillId="0" borderId="0" xfId="0" applyNumberFormat="1" applyBorder="1"/>
    <xf numFmtId="164" fontId="1" fillId="0" borderId="0" xfId="0" applyNumberFormat="1" applyFont="1" applyBorder="1" applyAlignment="1">
      <alignment horizontal="center" vertical="center"/>
    </xf>
    <xf numFmtId="0" fontId="0" fillId="0" borderId="8" xfId="0" applyBorder="1"/>
    <xf numFmtId="0" fontId="2" fillId="3" borderId="8" xfId="0" applyFont="1" applyFill="1" applyBorder="1" applyAlignment="1">
      <alignment horizontal="left"/>
    </xf>
    <xf numFmtId="0" fontId="5" fillId="3" borderId="8" xfId="0" applyFont="1" applyFill="1" applyBorder="1" applyAlignment="1">
      <alignment horizontal="right"/>
    </xf>
    <xf numFmtId="0" fontId="3" fillId="4" borderId="8" xfId="0" applyFont="1" applyFill="1" applyBorder="1" applyAlignment="1">
      <alignment horizontal="left"/>
    </xf>
    <xf numFmtId="0" fontId="6" fillId="0" borderId="8" xfId="0" applyFont="1" applyFill="1" applyBorder="1" applyAlignment="1">
      <alignment vertical="top" wrapText="1"/>
    </xf>
    <xf numFmtId="0" fontId="4" fillId="4" borderId="8" xfId="0" applyFont="1" applyFill="1" applyBorder="1" applyAlignment="1">
      <alignment horizontal="left"/>
    </xf>
    <xf numFmtId="0" fontId="0" fillId="0" borderId="8" xfId="0" applyFill="1" applyBorder="1" applyAlignment="1"/>
    <xf numFmtId="0" fontId="0" fillId="5" borderId="8" xfId="0" applyFill="1" applyBorder="1" applyAlignment="1"/>
    <xf numFmtId="0" fontId="7" fillId="0" borderId="0" xfId="0" applyFont="1"/>
    <xf numFmtId="0" fontId="7" fillId="2" borderId="0" xfId="0" applyFont="1" applyFill="1"/>
    <xf numFmtId="0" fontId="1" fillId="2" borderId="5" xfId="0" applyFont="1" applyFill="1" applyBorder="1" applyAlignment="1">
      <alignment horizontal="center"/>
    </xf>
    <xf numFmtId="0" fontId="1" fillId="2" borderId="6" xfId="0" applyFont="1" applyFill="1" applyBorder="1" applyAlignment="1">
      <alignment horizontal="center"/>
    </xf>
    <xf numFmtId="9" fontId="1" fillId="2" borderId="5" xfId="0" applyNumberFormat="1" applyFont="1" applyFill="1" applyBorder="1" applyAlignment="1">
      <alignment horizontal="center"/>
    </xf>
    <xf numFmtId="0" fontId="0" fillId="0" borderId="7" xfId="0" applyBorder="1" applyAlignment="1">
      <alignment horizontal="center"/>
    </xf>
    <xf numFmtId="0" fontId="0" fillId="0" borderId="0" xfId="0" applyFont="1" applyBorder="1" applyAlignment="1">
      <alignment horizontal="center" vertical="center"/>
    </xf>
    <xf numFmtId="0" fontId="1" fillId="0" borderId="0" xfId="0" applyFont="1" applyBorder="1" applyAlignment="1">
      <alignment horizontal="center" vertical="center"/>
    </xf>
    <xf numFmtId="0" fontId="7" fillId="6" borderId="0" xfId="0" applyFont="1" applyFill="1" applyAlignment="1">
      <alignment horizontal="center"/>
    </xf>
    <xf numFmtId="0" fontId="0" fillId="0" borderId="8" xfId="0" applyFont="1" applyBorder="1" applyAlignment="1">
      <alignment horizontal="left" vertical="justify"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5A20-F529-4569-A154-FDE41F70F794}">
  <dimension ref="A1"/>
  <sheetViews>
    <sheetView workbookViewId="0"/>
  </sheetViews>
  <sheetFormatPr defaultRowHeight="15" x14ac:dyDescent="0.25"/>
  <cols>
    <col min="1" max="1" width="64" customWidth="1"/>
  </cols>
  <sheetData>
    <row r="1" spans="1:1" ht="300" customHeight="1" x14ac:dyDescent="0.25">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20395-1629-4A08-916C-D8066FB482CA}">
  <dimension ref="A1:M42"/>
  <sheetViews>
    <sheetView zoomScale="131" workbookViewId="0">
      <selection activeCell="H13" sqref="H13"/>
    </sheetView>
  </sheetViews>
  <sheetFormatPr defaultRowHeight="15" x14ac:dyDescent="0.25"/>
  <cols>
    <col min="1" max="1" width="15.140625" bestFit="1" customWidth="1"/>
    <col min="2" max="2" width="14.28515625" bestFit="1" customWidth="1"/>
    <col min="3" max="3" width="2.7109375" customWidth="1"/>
    <col min="4" max="4" width="17.7109375" bestFit="1" customWidth="1"/>
    <col min="5" max="5" width="15.42578125" customWidth="1"/>
    <col min="6" max="6" width="3.140625" customWidth="1"/>
    <col min="7" max="7" width="14.85546875" style="4" bestFit="1" customWidth="1"/>
    <col min="8" max="8" width="28.28515625" customWidth="1"/>
    <col min="10" max="10" width="16.85546875" style="4" customWidth="1"/>
    <col min="11" max="11" width="13.5703125" style="12" customWidth="1"/>
    <col min="12" max="12" width="19" customWidth="1"/>
    <col min="13" max="13" width="15.7109375" customWidth="1"/>
  </cols>
  <sheetData>
    <row r="1" spans="1:13" ht="15.75" thickBot="1" x14ac:dyDescent="0.3">
      <c r="A1" s="45" t="s">
        <v>7</v>
      </c>
      <c r="B1" s="46"/>
      <c r="D1" s="47" t="s">
        <v>8</v>
      </c>
      <c r="E1" s="46"/>
      <c r="G1" s="28" t="s">
        <v>10</v>
      </c>
      <c r="H1" s="29" t="s">
        <v>11</v>
      </c>
      <c r="L1" s="20"/>
      <c r="M1" s="20"/>
    </row>
    <row r="2" spans="1:13" s="12" customFormat="1" x14ac:dyDescent="0.25">
      <c r="A2" s="10" t="s">
        <v>1</v>
      </c>
      <c r="B2" s="11" t="s">
        <v>2</v>
      </c>
      <c r="D2" s="10" t="s">
        <v>1</v>
      </c>
      <c r="E2" s="11" t="s">
        <v>2</v>
      </c>
      <c r="G2" s="23"/>
      <c r="H2" s="24">
        <f>(B3-B4)*B5</f>
        <v>40000</v>
      </c>
      <c r="J2" s="20"/>
      <c r="L2" s="19"/>
      <c r="M2" s="19"/>
    </row>
    <row r="3" spans="1:13" x14ac:dyDescent="0.25">
      <c r="A3" s="5" t="s">
        <v>3</v>
      </c>
      <c r="B3" s="6">
        <v>100</v>
      </c>
      <c r="D3" s="5" t="s">
        <v>3</v>
      </c>
      <c r="E3" s="6">
        <v>100</v>
      </c>
      <c r="G3" s="25">
        <v>80</v>
      </c>
      <c r="H3" s="13">
        <f t="dataTable" ref="H3:H7" dt2D="0" dtr="0" r1="B3"/>
        <v>20000</v>
      </c>
      <c r="J3" s="31"/>
      <c r="K3" s="32"/>
      <c r="L3" s="30"/>
      <c r="M3" s="21"/>
    </row>
    <row r="4" spans="1:13" x14ac:dyDescent="0.25">
      <c r="A4" s="5" t="s">
        <v>4</v>
      </c>
      <c r="B4" s="6">
        <v>60</v>
      </c>
      <c r="D4" s="5" t="s">
        <v>4</v>
      </c>
      <c r="E4" s="6">
        <v>60</v>
      </c>
      <c r="G4" s="26">
        <v>90</v>
      </c>
      <c r="H4" s="13">
        <v>30000</v>
      </c>
      <c r="J4" s="31"/>
    </row>
    <row r="5" spans="1:13" x14ac:dyDescent="0.25">
      <c r="A5" s="5" t="s">
        <v>5</v>
      </c>
      <c r="B5" s="7">
        <v>1000</v>
      </c>
      <c r="D5" s="5" t="s">
        <v>5</v>
      </c>
      <c r="E5" s="7">
        <v>1250</v>
      </c>
      <c r="G5" s="26">
        <v>100</v>
      </c>
      <c r="H5" s="13">
        <v>40000</v>
      </c>
    </row>
    <row r="6" spans="1:13" ht="15.75" thickBot="1" x14ac:dyDescent="0.3">
      <c r="A6" s="8" t="s">
        <v>6</v>
      </c>
      <c r="B6" s="9">
        <v>40000</v>
      </c>
      <c r="D6" s="8" t="s">
        <v>6</v>
      </c>
      <c r="E6" s="9">
        <f>(E3-E4)*E5</f>
        <v>50000</v>
      </c>
      <c r="G6" s="26">
        <v>110</v>
      </c>
      <c r="H6" s="13">
        <v>50000</v>
      </c>
    </row>
    <row r="7" spans="1:13" ht="15.75" thickBot="1" x14ac:dyDescent="0.3">
      <c r="D7" s="48" t="s">
        <v>9</v>
      </c>
      <c r="E7" s="48"/>
      <c r="G7" s="27">
        <v>120</v>
      </c>
      <c r="H7" s="9">
        <v>60000</v>
      </c>
    </row>
    <row r="8" spans="1:13" x14ac:dyDescent="0.25">
      <c r="B8" s="34"/>
      <c r="D8" s="2"/>
      <c r="E8" s="2"/>
      <c r="G8" s="49" t="s">
        <v>12</v>
      </c>
      <c r="H8" s="50"/>
    </row>
    <row r="9" spans="1:13" x14ac:dyDescent="0.25">
      <c r="A9" s="15"/>
      <c r="D9" s="2"/>
      <c r="E9" s="2"/>
      <c r="G9" s="22"/>
      <c r="H9" s="16"/>
    </row>
    <row r="10" spans="1:13" x14ac:dyDescent="0.25">
      <c r="D10" s="2"/>
      <c r="E10" s="2"/>
      <c r="G10" s="22"/>
      <c r="H10" s="16"/>
    </row>
    <row r="11" spans="1:13" x14ac:dyDescent="0.25">
      <c r="B11" s="2"/>
      <c r="E11" s="3"/>
      <c r="G11" s="22"/>
      <c r="H11" s="17"/>
    </row>
    <row r="12" spans="1:13" x14ac:dyDescent="0.25">
      <c r="B12" s="33"/>
      <c r="E12" s="3"/>
      <c r="G12" s="22"/>
      <c r="H12" s="18"/>
    </row>
    <row r="13" spans="1:13" x14ac:dyDescent="0.25">
      <c r="B13" s="2"/>
      <c r="C13" s="2"/>
      <c r="E13" s="3"/>
      <c r="G13" s="22"/>
      <c r="H13" s="14"/>
    </row>
    <row r="14" spans="1:13" x14ac:dyDescent="0.25">
      <c r="B14" s="2"/>
      <c r="G14" s="15"/>
      <c r="H14" s="15"/>
    </row>
    <row r="15" spans="1:13" x14ac:dyDescent="0.25">
      <c r="G15" s="22"/>
      <c r="H15" s="16"/>
    </row>
    <row r="16" spans="1:13" x14ac:dyDescent="0.25">
      <c r="G16" s="22"/>
      <c r="H16" s="16"/>
    </row>
    <row r="17" spans="4:8" x14ac:dyDescent="0.25">
      <c r="D17" s="2"/>
      <c r="G17" s="22"/>
      <c r="H17" s="17"/>
    </row>
    <row r="18" spans="4:8" x14ac:dyDescent="0.25">
      <c r="G18" s="22"/>
      <c r="H18" s="18"/>
    </row>
    <row r="19" spans="4:8" x14ac:dyDescent="0.25">
      <c r="G19" s="22"/>
      <c r="H19" s="14"/>
    </row>
    <row r="20" spans="4:8" x14ac:dyDescent="0.25">
      <c r="G20" s="15"/>
      <c r="H20" s="15"/>
    </row>
    <row r="21" spans="4:8" x14ac:dyDescent="0.25">
      <c r="G21" s="22"/>
      <c r="H21" s="16"/>
    </row>
    <row r="22" spans="4:8" x14ac:dyDescent="0.25">
      <c r="G22" s="22"/>
      <c r="H22" s="16"/>
    </row>
    <row r="23" spans="4:8" x14ac:dyDescent="0.25">
      <c r="G23" s="22"/>
      <c r="H23" s="17"/>
    </row>
    <row r="24" spans="4:8" x14ac:dyDescent="0.25">
      <c r="G24" s="22"/>
      <c r="H24" s="18"/>
    </row>
    <row r="25" spans="4:8" x14ac:dyDescent="0.25">
      <c r="G25" s="22"/>
      <c r="H25" s="14"/>
    </row>
    <row r="26" spans="4:8" x14ac:dyDescent="0.25">
      <c r="G26" s="15"/>
      <c r="H26" s="15"/>
    </row>
    <row r="27" spans="4:8" x14ac:dyDescent="0.25">
      <c r="G27" s="22"/>
      <c r="H27" s="16"/>
    </row>
    <row r="28" spans="4:8" x14ac:dyDescent="0.25">
      <c r="G28" s="22"/>
      <c r="H28" s="16"/>
    </row>
    <row r="29" spans="4:8" x14ac:dyDescent="0.25">
      <c r="G29" s="22"/>
      <c r="H29" s="17"/>
    </row>
    <row r="30" spans="4:8" x14ac:dyDescent="0.25">
      <c r="G30" s="22"/>
      <c r="H30" s="18"/>
    </row>
    <row r="31" spans="4:8" x14ac:dyDescent="0.25">
      <c r="G31" s="22"/>
      <c r="H31" s="14"/>
    </row>
    <row r="32" spans="4:8" x14ac:dyDescent="0.25">
      <c r="G32" s="15"/>
      <c r="H32" s="15"/>
    </row>
    <row r="33" spans="7:8" x14ac:dyDescent="0.25">
      <c r="G33" s="22"/>
      <c r="H33" s="16"/>
    </row>
    <row r="34" spans="7:8" x14ac:dyDescent="0.25">
      <c r="G34" s="22"/>
      <c r="H34" s="16"/>
    </row>
    <row r="35" spans="7:8" x14ac:dyDescent="0.25">
      <c r="G35" s="22"/>
      <c r="H35" s="17"/>
    </row>
    <row r="36" spans="7:8" x14ac:dyDescent="0.25">
      <c r="G36" s="22"/>
      <c r="H36" s="18"/>
    </row>
    <row r="37" spans="7:8" x14ac:dyDescent="0.25">
      <c r="G37" s="22"/>
      <c r="H37" s="14"/>
    </row>
    <row r="38" spans="7:8" x14ac:dyDescent="0.25">
      <c r="G38" s="15"/>
      <c r="H38" s="15"/>
    </row>
    <row r="39" spans="7:8" x14ac:dyDescent="0.25">
      <c r="G39" s="22"/>
      <c r="H39" s="16"/>
    </row>
    <row r="40" spans="7:8" x14ac:dyDescent="0.25">
      <c r="G40" s="22"/>
      <c r="H40" s="16"/>
    </row>
    <row r="41" spans="7:8" x14ac:dyDescent="0.25">
      <c r="G41" s="22"/>
      <c r="H41" s="17"/>
    </row>
    <row r="42" spans="7:8" x14ac:dyDescent="0.25">
      <c r="G42" s="22"/>
      <c r="H42" s="18"/>
    </row>
  </sheetData>
  <mergeCells count="4">
    <mergeCell ref="A1:B1"/>
    <mergeCell ref="D1:E1"/>
    <mergeCell ref="D7:E7"/>
    <mergeCell ref="G8:H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AF437-59C0-48C7-8E38-9C94903DFE4F}">
  <dimension ref="A1:C7"/>
  <sheetViews>
    <sheetView zoomScale="74" workbookViewId="0">
      <selection activeCell="B4" sqref="B4"/>
    </sheetView>
  </sheetViews>
  <sheetFormatPr defaultRowHeight="26.25" x14ac:dyDescent="0.4"/>
  <cols>
    <col min="1" max="1" width="25" style="43" customWidth="1"/>
    <col min="2" max="2" width="20.7109375" style="43" customWidth="1"/>
    <col min="3" max="16384" width="9.140625" style="43"/>
  </cols>
  <sheetData>
    <row r="1" spans="1:3" x14ac:dyDescent="0.4">
      <c r="A1" s="51" t="s">
        <v>22</v>
      </c>
      <c r="B1" s="51"/>
      <c r="C1" s="43" t="s">
        <v>37</v>
      </c>
    </row>
    <row r="3" spans="1:3" x14ac:dyDescent="0.4">
      <c r="A3" s="44" t="s">
        <v>27</v>
      </c>
      <c r="B3" s="44" t="s">
        <v>31</v>
      </c>
    </row>
    <row r="4" spans="1:3" x14ac:dyDescent="0.4">
      <c r="A4" s="43" t="s">
        <v>13</v>
      </c>
      <c r="B4" s="43">
        <v>80</v>
      </c>
    </row>
    <row r="5" spans="1:3" x14ac:dyDescent="0.4">
      <c r="A5" s="43" t="s">
        <v>28</v>
      </c>
      <c r="B5" s="43">
        <v>60</v>
      </c>
    </row>
    <row r="6" spans="1:3" x14ac:dyDescent="0.4">
      <c r="A6" s="43" t="s">
        <v>29</v>
      </c>
      <c r="B6" s="43">
        <v>800</v>
      </c>
    </row>
    <row r="7" spans="1:3" x14ac:dyDescent="0.4">
      <c r="A7" s="43" t="s">
        <v>30</v>
      </c>
      <c r="B7" s="43">
        <f>(B4-B5)*B6</f>
        <v>16000</v>
      </c>
    </row>
  </sheetData>
  <scenarios current="2" show="2" sqref="B7">
    <scenario name="BASE CASE" locked="1" count="3" user="User" comment="Created by User on 10/26/2025_x000a_Modified by User on 10/26/2025">
      <inputCells r="B3" val="BASE"/>
      <inputCells r="B4" val="100"/>
      <inputCells r="B6" val="1000"/>
    </scenario>
    <scenario name="BEST CASE" locked="1" count="3" user="User" comment="Created by User on 10/26/2025">
      <inputCells r="B3" val="BEST"/>
      <inputCells r="B4" val="120"/>
      <inputCells r="B6" val="1200"/>
    </scenario>
    <scenario name="WORST CASE" locked="1" count="3" user="User" comment="Created by User on 10/26/2025">
      <inputCells r="B3" val="WORST"/>
      <inputCells r="B4" val="80"/>
      <inputCells r="B6" val="800"/>
    </scenario>
  </scenarios>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BFD28-6229-48B2-83C0-1D0DD86355DB}">
  <sheetPr>
    <outlinePr summaryBelow="0"/>
  </sheetPr>
  <dimension ref="A1:F14"/>
  <sheetViews>
    <sheetView showGridLines="0" workbookViewId="0">
      <selection activeCell="I10" sqref="I10"/>
    </sheetView>
  </sheetViews>
  <sheetFormatPr defaultRowHeight="15" outlineLevelRow="1" outlineLevelCol="1" x14ac:dyDescent="0.25"/>
  <cols>
    <col min="1" max="1" width="36.42578125" customWidth="1"/>
    <col min="3" max="3" width="17.85546875" customWidth="1"/>
    <col min="4" max="6" width="12.42578125" bestFit="1" customWidth="1" outlineLevel="1"/>
    <col min="7" max="8" width="9.140625" customWidth="1"/>
  </cols>
  <sheetData>
    <row r="1" spans="1:6" x14ac:dyDescent="0.25">
      <c r="A1" s="14"/>
      <c r="B1" s="14"/>
      <c r="C1" s="14"/>
      <c r="D1" s="14"/>
      <c r="E1" s="14"/>
      <c r="F1" s="14"/>
    </row>
    <row r="2" spans="1:6" ht="15.75" x14ac:dyDescent="0.25">
      <c r="A2" s="14"/>
      <c r="B2" s="36" t="s">
        <v>15</v>
      </c>
      <c r="C2" s="36"/>
      <c r="D2" s="37"/>
      <c r="E2" s="37"/>
      <c r="F2" s="37"/>
    </row>
    <row r="3" spans="1:6" ht="15.75" collapsed="1" x14ac:dyDescent="0.25">
      <c r="A3" s="14"/>
      <c r="B3" s="36"/>
      <c r="C3" s="36"/>
      <c r="D3" s="37" t="s">
        <v>23</v>
      </c>
      <c r="E3" s="37" t="s">
        <v>24</v>
      </c>
      <c r="F3" s="37" t="s">
        <v>25</v>
      </c>
    </row>
    <row r="4" spans="1:6" ht="45" hidden="1" outlineLevel="1" x14ac:dyDescent="0.25">
      <c r="A4" s="14"/>
      <c r="B4" s="38"/>
      <c r="C4" s="38"/>
      <c r="D4" s="39" t="s">
        <v>20</v>
      </c>
      <c r="E4" s="39" t="s">
        <v>14</v>
      </c>
      <c r="F4" s="39" t="s">
        <v>14</v>
      </c>
    </row>
    <row r="5" spans="1:6" x14ac:dyDescent="0.25">
      <c r="A5" s="14"/>
      <c r="B5" s="40" t="s">
        <v>16</v>
      </c>
      <c r="C5" s="40"/>
      <c r="D5" s="41"/>
      <c r="E5" s="41"/>
      <c r="F5" s="41"/>
    </row>
    <row r="6" spans="1:6" outlineLevel="1" x14ac:dyDescent="0.25">
      <c r="A6" s="14"/>
      <c r="B6" s="38"/>
      <c r="C6" s="38" t="s">
        <v>32</v>
      </c>
      <c r="D6" s="42" t="s">
        <v>7</v>
      </c>
      <c r="E6" s="42" t="s">
        <v>26</v>
      </c>
      <c r="F6" s="42" t="s">
        <v>31</v>
      </c>
    </row>
    <row r="7" spans="1:6" outlineLevel="1" x14ac:dyDescent="0.25">
      <c r="A7" s="14"/>
      <c r="B7" s="38"/>
      <c r="C7" s="38" t="s">
        <v>10</v>
      </c>
      <c r="D7" s="42">
        <v>100</v>
      </c>
      <c r="E7" s="42">
        <v>120</v>
      </c>
      <c r="F7" s="42">
        <v>80</v>
      </c>
    </row>
    <row r="8" spans="1:6" outlineLevel="1" x14ac:dyDescent="0.25">
      <c r="A8" s="14"/>
      <c r="B8" s="38"/>
      <c r="C8" s="38" t="s">
        <v>33</v>
      </c>
      <c r="D8" s="42">
        <v>1000</v>
      </c>
      <c r="E8" s="42">
        <v>1200</v>
      </c>
      <c r="F8" s="42">
        <v>800</v>
      </c>
    </row>
    <row r="9" spans="1:6" x14ac:dyDescent="0.25">
      <c r="A9" s="14"/>
      <c r="B9" s="40" t="s">
        <v>21</v>
      </c>
      <c r="C9" s="40"/>
      <c r="D9" s="41"/>
      <c r="E9" s="41"/>
      <c r="F9" s="41"/>
    </row>
    <row r="10" spans="1:6" outlineLevel="1" x14ac:dyDescent="0.25">
      <c r="A10" s="14"/>
      <c r="B10" s="38"/>
      <c r="C10" s="38" t="s">
        <v>11</v>
      </c>
      <c r="D10" s="41">
        <v>40000</v>
      </c>
      <c r="E10" s="41">
        <v>72000</v>
      </c>
      <c r="F10" s="41">
        <v>16000</v>
      </c>
    </row>
    <row r="11" spans="1:6" x14ac:dyDescent="0.25">
      <c r="A11" s="14"/>
      <c r="B11" s="35" t="s">
        <v>17</v>
      </c>
      <c r="C11" s="35"/>
      <c r="D11" s="35"/>
      <c r="E11" s="35"/>
      <c r="F11" s="35"/>
    </row>
    <row r="12" spans="1:6" x14ac:dyDescent="0.25">
      <c r="A12" s="14"/>
      <c r="B12" s="35" t="s">
        <v>18</v>
      </c>
      <c r="C12" s="35"/>
      <c r="D12" s="35"/>
      <c r="E12" s="35"/>
      <c r="F12" s="35"/>
    </row>
    <row r="13" spans="1:6" x14ac:dyDescent="0.25">
      <c r="A13" s="14"/>
      <c r="B13" s="35" t="s">
        <v>19</v>
      </c>
      <c r="C13" s="35"/>
      <c r="D13" s="35"/>
      <c r="E13" s="35"/>
      <c r="F13" s="35"/>
    </row>
    <row r="14" spans="1:6" ht="153.75"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13291-9C93-45DC-B7A1-5D8379BF1741}">
  <dimension ref="A1:B2"/>
  <sheetViews>
    <sheetView tabSelected="1" zoomScale="94" workbookViewId="0">
      <selection activeCell="E4" sqref="E4"/>
    </sheetView>
  </sheetViews>
  <sheetFormatPr defaultRowHeight="15" x14ac:dyDescent="0.25"/>
  <cols>
    <col min="1" max="1" width="158.140625" customWidth="1"/>
    <col min="2" max="2" width="6.140625" customWidth="1"/>
  </cols>
  <sheetData>
    <row r="1" spans="1:2" ht="174.75" customHeight="1" x14ac:dyDescent="0.25">
      <c r="A1" s="52" t="s">
        <v>35</v>
      </c>
      <c r="B1" t="s">
        <v>34</v>
      </c>
    </row>
    <row r="2" spans="1:2" ht="154.5" customHeight="1" x14ac:dyDescent="0.25">
      <c r="A2" s="5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Problem- Scenario</vt:lpstr>
      <vt:lpstr>Profit Model</vt:lpstr>
      <vt:lpstr>Scenario Manager</vt:lpstr>
      <vt:lpstr>Scenario Summary</vt:lpstr>
      <vt:lpstr> Findings &amp; Reflection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Hullon</dc:creator>
  <cp:lastModifiedBy>Angela Hullon</cp:lastModifiedBy>
  <dcterms:created xsi:type="dcterms:W3CDTF">2025-10-26T09:11:00Z</dcterms:created>
  <dcterms:modified xsi:type="dcterms:W3CDTF">2026-05-08T08:45:01Z</dcterms:modified>
</cp:coreProperties>
</file>